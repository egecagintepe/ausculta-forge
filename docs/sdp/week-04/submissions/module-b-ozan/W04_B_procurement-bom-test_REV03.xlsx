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pc\Desktop\"/>
    </mc:Choice>
  </mc:AlternateContent>
  <xr:revisionPtr revIDLastSave="0" documentId="13_ncr:1_{EFCCD1BF-25BE-4487-A535-047CF1C14723}" xr6:coauthVersionLast="47" xr6:coauthVersionMax="47" xr10:uidLastSave="{00000000-0000-0000-0000-000000000000}"/>
  <bookViews>
    <workbookView xWindow="-120" yWindow="-120" windowWidth="29040" windowHeight="15840" activeTab="1" xr2:uid="{00000000-000D-0000-FFFF-FFFF00000000}"/>
  </bookViews>
  <sheets>
    <sheet name="NOTLAR" sheetId="1" r:id="rId1"/>
    <sheet name="Satın_Alma" sheetId="2" r:id="rId2"/>
    <sheet name="ANA_BOM" sheetId="3" r:id="rId3"/>
    <sheet name="Dönüştürücü_Karşılaştırma" sheetId="4" r:id="rId4"/>
    <sheet name="Test_Matrisi" sheetId="5" r:id="rId5"/>
    <sheet name="Alternatifler" sheetId="6" r:id="rId6"/>
    <sheet name="Sipariş_Kayıt" sheetId="7" r:id="rId7"/>
    <sheet name="Rev02_Ek_Kalemler" sheetId="8" r:id="rId8"/>
    <sheet name="Rev02_Karar_Aksiyon" sheetId="9" r:id="rId9"/>
    <sheet name="Revizyon_Gecmisi" sheetId="10" r:id="rId10"/>
    <sheet name="Sipariş_Hazırlık" sheetId="11" r:id="rId11"/>
    <sheet name="Fiyat_Kontrol" sheetId="12" r:id="rId12"/>
    <sheet name="Gerçek_Sipariş_Rev03"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3" l="1"/>
  <c r="G25" i="7" s="1"/>
  <c r="E7" i="12"/>
  <c r="D7" i="12"/>
  <c r="F7" i="12" s="1"/>
  <c r="H7" i="12" s="1"/>
  <c r="E6" i="12"/>
  <c r="D6" i="12"/>
  <c r="F6" i="12" s="1"/>
  <c r="H6" i="12" s="1"/>
  <c r="I14" i="8"/>
  <c r="I13" i="8"/>
  <c r="I12" i="8"/>
  <c r="I11" i="8"/>
  <c r="I10" i="8"/>
  <c r="I9" i="8"/>
  <c r="I8" i="8"/>
  <c r="I7" i="8"/>
  <c r="I6" i="8"/>
  <c r="G20" i="7"/>
  <c r="G19" i="7"/>
  <c r="G18" i="7"/>
  <c r="G17" i="7"/>
  <c r="G16" i="7"/>
  <c r="G15" i="7"/>
  <c r="G14" i="7"/>
  <c r="G13" i="7"/>
  <c r="G12" i="7"/>
  <c r="G11" i="7"/>
  <c r="G10" i="7"/>
  <c r="G9" i="7"/>
  <c r="G8" i="7"/>
  <c r="G7" i="7"/>
  <c r="G6" i="7"/>
  <c r="G5" i="7"/>
  <c r="J16" i="2"/>
  <c r="J15" i="2"/>
  <c r="J14" i="2"/>
  <c r="J13" i="2"/>
  <c r="J12" i="2"/>
  <c r="J11" i="2"/>
  <c r="J10" i="2"/>
  <c r="J9" i="2"/>
  <c r="J8" i="2"/>
  <c r="J7" i="2"/>
  <c r="J6" i="2"/>
  <c r="J5" i="2"/>
</calcChain>
</file>

<file path=xl/sharedStrings.xml><?xml version="1.0" encoding="utf-8"?>
<sst xmlns="http://schemas.openxmlformats.org/spreadsheetml/2006/main" count="1861" uniqueCount="1422">
  <si>
    <t>Bölüm</t>
  </si>
  <si>
    <t>Kural / Anlam</t>
  </si>
  <si>
    <t>Açıklama</t>
  </si>
  <si>
    <t>Amaç</t>
  </si>
  <si>
    <t>Tek dosyada satın alma + BOM + test + seçim kayıtları</t>
  </si>
  <si>
    <t>Bu dosya satın alma + BOM + test + seçim kayıtlarını tek yerde tutar. Nihai üretim BOM'u, seçilen mimari ve yapım seviyesi kesinleşince türetilir.</t>
  </si>
  <si>
    <t>Rev01 kapsamı</t>
  </si>
  <si>
    <t>1 ECM + 1 MEMS ailesi karşılaştırması</t>
  </si>
  <si>
    <t>Prototipleme</t>
  </si>
  <si>
    <t>2 yaklaşım</t>
  </si>
  <si>
    <t>Breadboard + lehimli prototip zorunlu karşılaştırmadır. Özel PCB yalnız ölçümle gerekçelendirilirse koşullu.</t>
  </si>
  <si>
    <t>Veri seti</t>
  </si>
  <si>
    <t>CirCor DigiScope</t>
  </si>
  <si>
    <t>Birincil veri seti sabit tutulur; fiziksel doğrulama akustik fantomla yapılır.</t>
  </si>
  <si>
    <t>İnsan verisi</t>
  </si>
  <si>
    <t>Kullanılmaz</t>
  </si>
  <si>
    <t>Fiziksel doğrulama yalnız akustik fantom üzerinde yapılır; ekip üyelerinden dahi kayıt alınmaz.</t>
  </si>
  <si>
    <t>Sonuç üretimi</t>
  </si>
  <si>
    <t>Otomatik / betik tabanlı</t>
  </si>
  <si>
    <t>Ölçüm sonucu uydurulmaz; sayısal sonuçlar betikle üretilebilir olmalıdır.</t>
  </si>
  <si>
    <t>Test ID standardı</t>
  </si>
  <si>
    <t>SATIN ALMA RENK KODU</t>
  </si>
  <si>
    <t>Renk</t>
  </si>
  <si>
    <t>GRUP A — W4 HEDEFİ / KALEM BAZLI KONTROL</t>
  </si>
  <si>
    <t>Zaman</t>
  </si>
  <si>
    <t>W4'te sipariş hedefidir; yalnız exact ürün/MPN, gerçek tedarik bağlantısı, stok/fiyat, mekanik ve elektriksel uyum kontrolü tamamlanan kalemler alınır. Açık geometri/bağlantı kalemleri otomatik satın alınmaz. PCM1808 kararı sadece A-23 modül kalemini bekletir.</t>
  </si>
  <si>
    <t>YEŞİL</t>
  </si>
  <si>
    <t>GRUP A — HEMEN AL</t>
  </si>
  <si>
    <t>1. dönem / 4. hafta öncesi</t>
  </si>
  <si>
    <t>İlk deneyler ve 1. dönem ders kapıları için gerekli.</t>
  </si>
  <si>
    <t>MAVİ</t>
  </si>
  <si>
    <t>GRUP B — 2. DÖNEMDE AL</t>
  </si>
  <si>
    <t>2. dönem</t>
  </si>
  <si>
    <t>Lehimli prototip ve ikinci dönem çalışmaları.</t>
  </si>
  <si>
    <t>SARI</t>
  </si>
  <si>
    <t>OPSİYONEL / KOŞULLU</t>
  </si>
  <si>
    <t>Gerektiğinde</t>
  </si>
  <si>
    <t>PPG ve özel PCB gibi çekirdek dışı veya ölçüme bağlı kalemler.</t>
  </si>
  <si>
    <t>GRİ</t>
  </si>
  <si>
    <t>GRUP C — BÖLÜMDEN TEMİN</t>
  </si>
  <si>
    <t>İlk 3 hafta kontrol</t>
  </si>
  <si>
    <t>Satın alınmaz; bölüm/laboratuvardan ödünç alınır.</t>
  </si>
  <si>
    <t>DANIŞMAN BELGELERİNDEN GELEN TEMEL KURALLAR</t>
  </si>
  <si>
    <t>No</t>
  </si>
  <si>
    <t>Kural</t>
  </si>
  <si>
    <t>Uygulama</t>
  </si>
  <si>
    <t>Gereksinimler ölçülebilir ve doğrulanabilir olmalıdır.</t>
  </si>
  <si>
    <t>Her gereksinim test edilebilir bir kabul kriterine bağlanır.</t>
  </si>
  <si>
    <t>Çekirdek edinim zinciri bağımsız olarak bilinen bir girdiye karşı doğrulanmalıdır.</t>
  </si>
  <si>
    <t>Akustik fantom + bilinen veri seti kaydı + sayısal karşılaştırma.</t>
  </si>
  <si>
    <t>Ders kapıları: 1. dönem 5. hafta, 1. dönem 9. hafta, 2. dönem 7. hafta.</t>
  </si>
  <si>
    <t>Test Matrisi sayfasında bu üç kapı doğrudan kullanılır.</t>
  </si>
  <si>
    <t>Araç zinciri ve veri seti başlangıçta seçilir; sonrasında değiştirilmez.</t>
  </si>
  <si>
    <t>C firmware + Python PC ve CirCor DigiScope sabit tutulur.</t>
  </si>
  <si>
    <t>Grup A 4. haftaya kadar; Grup B 2. dönem; Grup C bölümden ödünç.</t>
  </si>
  <si>
    <t>Satın Alma sayfası renklerle ayırır.</t>
  </si>
  <si>
    <t>ADC karar kuralı</t>
  </si>
  <si>
    <t>ESP32-S3 ADC mevcuttur; audio-grade uygunluk açık</t>
  </si>
  <si>
    <t>Kalem</t>
  </si>
  <si>
    <t>Grup</t>
  </si>
  <si>
    <t>Öncelik</t>
  </si>
  <si>
    <t>Ürün / Parça</t>
  </si>
  <si>
    <t>Ana Aday / MPN</t>
  </si>
  <si>
    <t>Tedarikçi</t>
  </si>
  <si>
    <t>Ürün Bağlantısı</t>
  </si>
  <si>
    <t>Adet</t>
  </si>
  <si>
    <t>Stok / Uygunluk</t>
  </si>
  <si>
    <t>Teslim Süresi</t>
  </si>
  <si>
    <t>Yedek / Alternatif</t>
  </si>
  <si>
    <t>Yedek Bağlantısı</t>
  </si>
  <si>
    <t>Kapı / Aşama</t>
  </si>
  <si>
    <t>Teknik Not / Karar Durumu</t>
  </si>
  <si>
    <t>A-01</t>
  </si>
  <si>
    <t>GRUP A</t>
  </si>
  <si>
    <t>P1</t>
  </si>
  <si>
    <t>Akustik stetoskop / örnek göğüs başlığı</t>
  </si>
  <si>
    <t>Medikaltec Klasik Steteskop</t>
  </si>
  <si>
    <t>Medikaltec</t>
  </si>
  <si>
    <t>https://www.medikaltec.com.tr/kategori/steteskop?marka=medikaltec&amp;ozellikler=tip-1%3Astandart-medikal-urun</t>
  </si>
  <si>
    <t>Sepete eklenebilir / kategori sayfasında listeli</t>
  </si>
  <si>
    <t>Türkiye içi; siparişte teyit</t>
  </si>
  <si>
    <t>Freely Tek Taraflı ST-101 (~459.99 TL)</t>
  </si>
  <si>
    <t>https://www.medikaltec.com.tr/kategori/steteskop?ozellikler=tip-1%3Astandart-medikal-urun</t>
  </si>
  <si>
    <t>BEKLE — siparişten önce exact ürün modeli/SKU ve fantom uyumu netleştirilmeli.</t>
  </si>
  <si>
    <t>Ucuz örnek göğüs başlığı/tubing. Ticari ürünün akustik performansı nihai kabul değildir; phantom ile ölçülür.</t>
  </si>
  <si>
    <t>A-02</t>
  </si>
  <si>
    <t>Elektret kondenser mikrofon (ECM)</t>
  </si>
  <si>
    <t>Same Sky CMC-6036-40T — teknik referans; Farnell MOQ 500</t>
  </si>
  <si>
    <t>https://tr.farnell.com/same-sky/cmc-6036-40t/microphone-electret-condenser/dp/4892745</t>
  </si>
  <si>
    <t>A-03</t>
  </si>
  <si>
    <t>P1 — ilk sipariş partisi / uzun teslim riski</t>
  </si>
  <si>
    <t>DMM-4026-B-I2S-EB-R değerlendirme kartı (ilk bench taşıyıcısı); ham sensör ayrı MPN</t>
  </si>
  <si>
    <t>https://puiaudio.com/file/specs-DMM-4026-B-I2S-EB-R.pdf</t>
  </si>
  <si>
    <t>W4 ilk sipariş partisi — 3 adet (2 bench + 1 yedek); kablolama öncesi pad/rail teyidi</t>
  </si>
  <si>
    <t>A-04</t>
  </si>
  <si>
    <t>Düşük gürültülü op-amp</t>
  </si>
  <si>
    <t>Microchip MCP6022-I/P, DIP-8</t>
  </si>
  <si>
    <t>Direnc.net</t>
  </si>
  <si>
    <t>https://www.direnc.net/mcp6022-ip-dual-op-amp-500uv-offset-max-10mhz-band-width-pdip8</t>
  </si>
  <si>
    <t>NE5532P (ucuz yedek; daha yüksek/split besleme gereksinimi)</t>
  </si>
  <si>
    <t>https://www.direnc.net/amplifikatorler-dip</t>
  </si>
  <si>
    <t>4. hafta sipariş</t>
  </si>
  <si>
    <t>A-05</t>
  </si>
  <si>
    <t>Pasif komponent seti</t>
  </si>
  <si>
    <t>A-06</t>
  </si>
  <si>
    <t>Mikrodenetleyici geliştirme kartı</t>
  </si>
  <si>
    <t>A-07</t>
  </si>
  <si>
    <t>Fantom eksitörü / transdüser</t>
  </si>
  <si>
    <t>Motorobit 30 mm 12 Ω titreşim/rezonans hoparlör</t>
  </si>
  <si>
    <t>Motorobit</t>
  </si>
  <si>
    <t>https://www.motorobit.com/titresim-hoparloru-30mm-12-ohm-12%CE%A9-rezonans-hoparlor</t>
  </si>
  <si>
    <t>Standart 8 Ω küçük hoparlör; LF cevabı bench'te doğrulanmalı</t>
  </si>
  <si>
    <t>https://www.motorobit.com/hoparlor-ve-buzzer?pg=4</t>
  </si>
  <si>
    <t>A-08</t>
  </si>
  <si>
    <t>Küçük ses yükselteç modülü</t>
  </si>
  <si>
    <t>LM386 tabanlı modül</t>
  </si>
  <si>
    <t>https://www.robotistan.com/ses-modulleri</t>
  </si>
  <si>
    <t>A-09</t>
  </si>
  <si>
    <t>Silikon levha / kuplaj katmanı</t>
  </si>
  <si>
    <t>Şeffaf silikon levha 3 mm, 1 m × 0.25 m</t>
  </si>
  <si>
    <t>Demiriz / Endüstri Malzemesi</t>
  </si>
  <si>
    <t>https://www.endustrimalzemesi.com/urun/silikon-levha-seffaf-3-mm-en-1-mt-boy-0-25-mt-1643</t>
  </si>
  <si>
    <t>Kategori listesinde stokta / sepete eklenebilir; fiyat dinamik</t>
  </si>
  <si>
    <t>Türkiye içi; sipariş anında fiyat/stok teyit</t>
  </si>
  <si>
    <t>2 mm silikon levha veya daha küçük numune</t>
  </si>
  <si>
    <t>https://www.demiriz.com.tr/kategori/seffaf-silikon-levhalar</t>
  </si>
  <si>
    <t>BEKLE — Kaan fantom geometrisi, numune/kesim ve gerekli miktarı onaylamalı.</t>
  </si>
  <si>
    <t>3 mm, 1 m × 0,25 m levha mevcut tahmindir ve maliyetlidir. Önce Kaan'ın fantom geometrisi/kuplaj ihtiyacı belirlenmeli; küçük numune veya kesim seçeneği kontrol edilmeden tam levha sipariş edilmemelidir.</t>
  </si>
  <si>
    <t>A-10</t>
  </si>
  <si>
    <t>Fantom rijit çerçeve malzemesi</t>
  </si>
  <si>
    <t>3 mm şeffaf akrilik levha, 20×30 cm</t>
  </si>
  <si>
    <t>Trendyol / Bilhan Pleksi</t>
  </si>
  <si>
    <t>https://www.trendyol.com/seffaf-pleksi-y-s82306?pi=21</t>
  </si>
  <si>
    <t>Sepete ekle görüldü</t>
  </si>
  <si>
    <t>Marketplace; siparişte teyit</t>
  </si>
  <si>
    <t>Bölüm 3D baskı / yerel lazer kesim akrilik</t>
  </si>
  <si>
    <t>https://www.trendyol.com/akrilik-levha-y-s9511</t>
  </si>
  <si>
    <t>BEKLE — exact malzeme SKU/ölçü/kesim ve çerçeve geometrisi tamamlanmalı.</t>
  </si>
  <si>
    <t>Bağlantı/ölçü kesinleşince tam ürün SKU'su ve satıcı sayfası seçilecek. Mevcut Trendyol kategori/listeme URL'si sipariş kanıtı değildir; geometrisi belli olmadan sipariş verme.</t>
  </si>
  <si>
    <t>A-11</t>
  </si>
  <si>
    <t>Jumper seti / bağlantı kablosu tüketimleri</t>
  </si>
  <si>
    <t>Eksik M-M / F-F / M-F jumper, solid-core wire ve uygun header parçaları</t>
  </si>
  <si>
    <t>https://www.robotistan.com/jumper-kablo</t>
  </si>
  <si>
    <t>KOŞULLU — önce bölüm stoğu ve set içeriği sayılmalı; yalnız eksikler alınmalı.</t>
  </si>
  <si>
    <t>A-12</t>
  </si>
  <si>
    <t>2x0.22 mm² mikrofon kablosu / metre</t>
  </si>
  <si>
    <t>https://www.meteormuzik.com.tr/mikrofon-kablosu</t>
  </si>
  <si>
    <t>B-01</t>
  </si>
  <si>
    <t>GRUP B</t>
  </si>
  <si>
    <t>P2</t>
  </si>
  <si>
    <t>Lehimli prototip kartı</t>
  </si>
  <si>
    <t>—</t>
  </si>
  <si>
    <t>B-02</t>
  </si>
  <si>
    <t>Li-ion/Li-Po hücre + şarj/koruma</t>
  </si>
  <si>
    <t>1S protected pack — aday only</t>
  </si>
  <si>
    <t>2. dönem tedarik</t>
  </si>
  <si>
    <t>HENÜZ SATIN ALMA YOK</t>
  </si>
  <si>
    <t>Batarya/şarj mimarisi Grup B; BQ24074 vb. yalnız future aday.</t>
  </si>
  <si>
    <t>B-03</t>
  </si>
  <si>
    <t>Düşük gürültülü regülatör</t>
  </si>
  <si>
    <t>Aday TBD</t>
  </si>
  <si>
    <t>AFE ölçümlerinden sonra seçilir.</t>
  </si>
  <si>
    <t>B-04</t>
  </si>
  <si>
    <t>PPG modülü</t>
  </si>
  <si>
    <t>Opsiyonel — mevcut aday yok</t>
  </si>
  <si>
    <t>OPSİYONEL</t>
  </si>
  <si>
    <t>Yalnız core tamamlanırsa</t>
  </si>
  <si>
    <t>2. dönem opsiyonel</t>
  </si>
  <si>
    <t>Çekirdek sistem dışında; yalnızca çekirdek tamamlanırsa değerlendirilecektir.</t>
  </si>
  <si>
    <t>B-05</t>
  </si>
  <si>
    <t>Özel PCB</t>
  </si>
  <si>
    <t>Optional</t>
  </si>
  <si>
    <t>Ölçüm gerekçesi varsa</t>
  </si>
  <si>
    <t>2. dönem 6+</t>
  </si>
  <si>
    <t>Özel PCB zorunlu değildir; yalnızca ölçümler gerekçelendirirse ikinci dönemde uygulanabilir.</t>
  </si>
  <si>
    <t>C-01</t>
  </si>
  <si>
    <t>GRUP C</t>
  </si>
  <si>
    <t>P0</t>
  </si>
  <si>
    <t>Osiloskop</t>
  </si>
  <si>
    <t>Bölümde mevcut olduğu Ozan tarafından 12.10.2026 tarihinde bildirildi</t>
  </si>
  <si>
    <t>THKÜ</t>
  </si>
  <si>
    <t>MEVCUT OLDUĞU BİLDİRİLDİ — SATIN ALINMAYACAK</t>
  </si>
  <si>
    <t>Bölüm/laboratuvardan; test öncesi cihaz kimliği/erişim teyidi</t>
  </si>
  <si>
    <t>3. hafta</t>
  </si>
  <si>
    <t>Osiloskop / DSO: Ozan 12.10.2026 tarihinde bölümde mevcut olduğunu bildirdi. Satın alınmayacak. Mevcutluk kalibrasyon, gürültü tabanı, bant genişliği veya ölçüm performansını doğrulamaz; ölçümden önce cihaz ve erişim koşulları kaydedilir.</t>
  </si>
  <si>
    <t>C-02</t>
  </si>
  <si>
    <t>Fonksiyon üreteci</t>
  </si>
  <si>
    <t>Fonksiyon üreteci: Ozan 12.10.2026 tarihinde bölümde mevcut olduğunu bildirdi. Satın alınmayacak. Mevcutluk kalibrasyon, gürültü tabanı, bant genişliği veya ölçüm performansını doğrulamaz; ölçümden önce cihaz ve erişim koşulları kaydedilir.</t>
  </si>
  <si>
    <t>C-03</t>
  </si>
  <si>
    <t>Multimetre</t>
  </si>
  <si>
    <t>Multimetre: Ozan 12.10.2026 tarihinde bölümde mevcut olduğunu bildirdi. Satın alınmayacak. Mevcutluk kalibrasyon, gürültü tabanı, bant genişliği veya ölçüm performansını doğrulamaz; ölçümden önce cihaz ve erişim koşulları kaydedilir.</t>
  </si>
  <si>
    <t>C-04</t>
  </si>
  <si>
    <t>Lehim istasyonu + lehim</t>
  </si>
  <si>
    <t>3. hafta audit</t>
  </si>
  <si>
    <t>Lehim istasyonu + lehim: Ozan 12.10.2026 tarihinde bölümde mevcut olduğunu bildirdi. Satın alınmayacak. Mevcutluk kalibrasyon, gürültü tabanı, bant genişliği veya ölçüm performansını doğrulamaz; ölçümden önce cihaz ve erişim koşulları kaydedilir.</t>
  </si>
  <si>
    <t>C-05</t>
  </si>
  <si>
    <t>GRUP C — OPSİYONEL / BÖLÜMDEN ÖDÜNÇ</t>
  </si>
  <si>
    <t>P2 — ZORUNLU DEĞİL</t>
  </si>
  <si>
    <t>USB ses arayüzü</t>
  </si>
  <si>
    <t>Bölüm/laboratuvarda mevcut değil; kişisel 3,5 mm→USB adaptörü olduğu bildirildi, henüz incelenmedi</t>
  </si>
  <si>
    <t>BÖLÜMDE YOK; KİŞİSEL ADAPTÖR DOĞRULANACAK</t>
  </si>
  <si>
    <t>İsteğe bağlı deneysel kayıt; cihaz uygunluğu kontrolü</t>
  </si>
  <si>
    <t>Opsiyonel; ADC mimarisi kararının yerine geçmez</t>
  </si>
  <si>
    <t>Öğretim elemanı listesinde USB audio interface, bölümden ödünç alınabilecek faydalı fakat zorunlu olmayan referans ölçüm aracıdır. Ozan'ın bildirimine göre bölümde mevcut değildir. Ozan'da bulunan 3,5 mm→USB adaptörünün gerçek modeli ve yönü doğrulanmalıdır: analog girişli USB capture mı, yalnız USB→kulaklık DAC çıkışı mı? Input range/coupling, mic bias, AGC/gain ve supported sample formats kontrol edilmeden C-05 eşdeğeri veya kalibre referans sayılmaz. PCM1808 kararı bundan bağımsız olarak danışmanla açık kalır.</t>
  </si>
  <si>
    <t>CMC-6036-40T teknik aday Farnell'de MOQ 500 olduğu için satın alma için birincil aday yapılmadı; KECG2740PBJ uygulanabilir ECM satın alma adayı olarak eklendi.</t>
  </si>
  <si>
    <t>Ref.</t>
  </si>
  <si>
    <t>Blok</t>
  </si>
  <si>
    <t>Üretici</t>
  </si>
  <si>
    <t>MPN / Tanım</t>
  </si>
  <si>
    <t>Parça / Değer</t>
  </si>
  <si>
    <t>Geliştirme Adedi</t>
  </si>
  <si>
    <t>Lehimli Prototip Adedi</t>
  </si>
  <si>
    <t>Özel PCB Adedi (Koşullu)</t>
  </si>
  <si>
    <t>Durum</t>
  </si>
  <si>
    <t>Teknik Not</t>
  </si>
  <si>
    <t>Kaynak</t>
  </si>
  <si>
    <t>U1</t>
  </si>
  <si>
    <t>MCU</t>
  </si>
  <si>
    <t>U2A</t>
  </si>
  <si>
    <t>Dönüştürücü — ECM</t>
  </si>
  <si>
    <t>Kingstate</t>
  </si>
  <si>
    <t>U2B</t>
  </si>
  <si>
    <t>Dönüştürücü — MEMS</t>
  </si>
  <si>
    <t>U3</t>
  </si>
  <si>
    <t>ECM analog ön uç</t>
  </si>
  <si>
    <t>Uygun üretici</t>
  </si>
  <si>
    <t>KIT1</t>
  </si>
  <si>
    <t>Pasif set</t>
  </si>
  <si>
    <t>Set</t>
  </si>
  <si>
    <t>Direnç + kondansatör</t>
  </si>
  <si>
    <t>Belirlenecek</t>
  </si>
  <si>
    <t>Öğretim elemanı komponent listesi</t>
  </si>
  <si>
    <t>U4</t>
  </si>
  <si>
    <t>Şarj / PowerPath</t>
  </si>
  <si>
    <t>Texas Instruments</t>
  </si>
  <si>
    <t>BQ24074RGTT</t>
  </si>
  <si>
    <t>1S Li-Ion/Li-Po şarj + PowerPath + NTC</t>
  </si>
  <si>
    <t>GELECEK ADAYI — 2. DÖNEM</t>
  </si>
  <si>
    <t>Gelecek dönem adayıdır; bare QFN paket perfboard'a doğrudan lehimlenebilir kabul edilmez. S2'de benimsenirse uygun breakout/evaluation module veya doğru footprint/pasifler/yerleşim içeren tasarlanmış PCB gerekir. Şarj mimarisi bu revizyonda kilitli değildir.</t>
  </si>
  <si>
    <t>https://www.ti.com/lit/ds/symlink/bq24074.pdf</t>
  </si>
  <si>
    <t>U5</t>
  </si>
  <si>
    <t>3.3 V regülatör</t>
  </si>
  <si>
    <t>TPS63031DSKR</t>
  </si>
  <si>
    <t>Buck-boost, sabit 3.3 V</t>
  </si>
  <si>
    <t>Gelecek dönem adayıdır; çıplak WSON paket perfboard'a elle lehimlenebilir kabul edilmez. S2'de kullanılacaksa uyumlu breakout/evaluation modülü veya datasheet'e uygun footprint, pasifler ve yerleşim içeren tasarlanmış PCB gerekir; bu revizyonda lehimli prototip adedi 0'dır. Benimsenme kararı ve uygulama devresi/yerleşimi 2. dönemde doğrulanır.</t>
  </si>
  <si>
    <t>https://www.ti.com/lit/ds/symlink/tps63031.pdf</t>
  </si>
  <si>
    <t>U6</t>
  </si>
  <si>
    <t>Düşük gürültülü LDO</t>
  </si>
  <si>
    <t>ECM analog ön uç deneme beslemesi</t>
  </si>
  <si>
    <t>J1</t>
  </si>
  <si>
    <t>USB-C</t>
  </si>
  <si>
    <t>GCT</t>
  </si>
  <si>
    <t>USB4105-GF-A-120</t>
  </si>
  <si>
    <t>USB Type-C yuvası</t>
  </si>
  <si>
    <t>YALNIZ ÖZEL PCB — KOŞULLU</t>
  </si>
  <si>
    <t>USB-C konnektör ancak özel PCB uygulanırsa gerekir; özel PCB zorunlu değildir.</t>
  </si>
  <si>
    <t>GCT / DigiKey</t>
  </si>
  <si>
    <t>ESD1</t>
  </si>
  <si>
    <t>USB ESD</t>
  </si>
  <si>
    <t>STMicroelectronics</t>
  </si>
  <si>
    <t>USBLC6-2SC6</t>
  </si>
  <si>
    <t>USB 2.0 düşük kapasitanslı ESD</t>
  </si>
  <si>
    <t>USB ESD parçası özel PCB tasarımı yapılırsa seçilecek.</t>
  </si>
  <si>
    <t>Üretici veri sayfası</t>
  </si>
  <si>
    <t>J2</t>
  </si>
  <si>
    <t>Batarya</t>
  </si>
  <si>
    <t>JST</t>
  </si>
  <si>
    <t>B3B-PH-K-S</t>
  </si>
  <si>
    <t>PH 3-pin batarya bağlantısı</t>
  </si>
  <si>
    <t>Batarya konnektör seçimi 2. dönem power architecture ile.</t>
  </si>
  <si>
    <t>JST / DigiKey</t>
  </si>
  <si>
    <t>J3</t>
  </si>
  <si>
    <t>Tasarım içi</t>
  </si>
  <si>
    <t>KALDIRILDI — özel 6-pin MEMS taşıyıcı PCB</t>
  </si>
  <si>
    <t>BAT1</t>
  </si>
  <si>
    <t>Üretici belirlenecek</t>
  </si>
  <si>
    <t>1S Li-Po ~800 mAh</t>
  </si>
  <si>
    <t>Korumalı; 3.7 V nominal; paket NTC</t>
  </si>
  <si>
    <t>ÖN</t>
  </si>
  <si>
    <t>Kesin SKU mekanik/termal inceleme sonrası.</t>
  </si>
  <si>
    <t>L1</t>
  </si>
  <si>
    <t>3.3 V güç</t>
  </si>
  <si>
    <t>1.5 µH shielded</t>
  </si>
  <si>
    <t>TPS63031 indüktörü</t>
  </si>
  <si>
    <t>Each TPS63031 power stage needs its corresponding inductor per the selected TI reference design. U5 development quantity is 2, so the planned development quantity of L1 is corrected to 2. Group B / second term only; value/package remain to be confirmed from the final power design.</t>
  </si>
  <si>
    <t>C1</t>
  </si>
  <si>
    <t>3.3 V IN</t>
  </si>
  <si>
    <t>10 µF 6.3 V X7R</t>
  </si>
  <si>
    <t>TPS63031 giriş kapasitesi</t>
  </si>
  <si>
    <t>C2-C3</t>
  </si>
  <si>
    <t>3.3 V OUT</t>
  </si>
  <si>
    <t>TPS63031 çıkış kapasitesi</t>
  </si>
  <si>
    <t>R1-R2</t>
  </si>
  <si>
    <t>USB CC</t>
  </si>
  <si>
    <t>5.1 kΩ 0603</t>
  </si>
  <si>
    <t>USB-C sink Rd</t>
  </si>
  <si>
    <t>USB-C / Espressif</t>
  </si>
  <si>
    <t>R3-R4</t>
  </si>
  <si>
    <t>USB SI</t>
  </si>
  <si>
    <t>27 Ω 0603</t>
  </si>
  <si>
    <t>D+/D− seri direnç footprinti</t>
  </si>
  <si>
    <t>ÖNERİLEN TEST/AYAK İZİ</t>
  </si>
  <si>
    <t>Espressif donanım kılavuzu</t>
  </si>
  <si>
    <t>R5-R7</t>
  </si>
  <si>
    <t>I²S SI</t>
  </si>
  <si>
    <t>33 Ω 0603</t>
  </si>
  <si>
    <t>BCLK/WS/DOUT damping footprinti</t>
  </si>
  <si>
    <t>R8</t>
  </si>
  <si>
    <t>MIC SUPPLY</t>
  </si>
  <si>
    <t>10 Ω 0603</t>
  </si>
  <si>
    <t>3.3 V → MIC_3V3 izolasyonu</t>
  </si>
  <si>
    <t>DSS-SYS-001</t>
  </si>
  <si>
    <t>C4</t>
  </si>
  <si>
    <t>1 µF 6.3 V X7R</t>
  </si>
  <si>
    <t>MIC_3V3 yerel bulk</t>
  </si>
  <si>
    <t>C5</t>
  </si>
  <si>
    <t>100 nF 10 V X7R</t>
  </si>
  <si>
    <t>MIC_3V3 HF bypass</t>
  </si>
  <si>
    <t>R9</t>
  </si>
  <si>
    <t>CHARGE ISET</t>
  </si>
  <si>
    <t>Şema ile hesaplanacak</t>
  </si>
  <si>
    <t>BQ24074 ISET</t>
  </si>
  <si>
    <t>BQ24074 seçilirse veri sayfası hesabı.</t>
  </si>
  <si>
    <t>R10</t>
  </si>
  <si>
    <t>CHARGE ILIM</t>
  </si>
  <si>
    <t>BQ24074 giriş akım limiti</t>
  </si>
  <si>
    <t>R11</t>
  </si>
  <si>
    <t>CHARGE ITERM</t>
  </si>
  <si>
    <t>BQ24074 sonlandırma ayarı</t>
  </si>
  <si>
    <t>R12</t>
  </si>
  <si>
    <t>CHARGE TMR</t>
  </si>
  <si>
    <t>BQ24074 güvenlik zamanlayıcısı</t>
  </si>
  <si>
    <t>NTC1</t>
  </si>
  <si>
    <t>Batarya tedarikçisi</t>
  </si>
  <si>
    <t>10 kΩ NTC</t>
  </si>
  <si>
    <t>Paket termistörü → TS</t>
  </si>
  <si>
    <t>Batarya SKU/NTC yaklaşımı 2. dönem'de seçilir.</t>
  </si>
  <si>
    <t>BQ24074 veri sayfası</t>
  </si>
  <si>
    <t>U7</t>
  </si>
  <si>
    <t>ECM harici audio ADC (koşullu)</t>
  </si>
  <si>
    <t>Texas Instruments / module seller</t>
  </si>
  <si>
    <t>PCM1808 tabanlı hazır I²S ADC breakout — exact module SKU TBD</t>
  </si>
  <si>
    <t>ECM için koşullu harici ADC adayı; çıplak IC/özel PCB değil</t>
  </si>
  <si>
    <t>HARİCİ ADC ADAYI — DANIŞMAN ONAYI GEREKLİ</t>
  </si>
  <si>
    <t>PCM1808 tabanlı harici I²S ADC yalnız güçlü adaydır; F/G/H adetleri 0 olduğundan satın alma veya özel PCB bileşeni değildir. Danışman onayı olmadan alınmaz. Onaylanırsa hazır breakout/modül seçilir; exact schematic üzerinden MCLK/SCKI, I²S BCK/LRCK/DOUT, MD/FMT straps, 5 V analog + 3,3 V digital rails, input coupling/full-scale ve pad/connector mapping doğrulanır. 99 dB tipik SNR, IC datasheet değeridir; sistem performansı değildir.</t>
  </si>
  <si>
    <t>https://www.ti.com/lit/ds/symlink/pcm1808.pdf</t>
  </si>
  <si>
    <t>NOT — Öğretim elemanı komponent listesi satın alma miktarlarında üst seviye girdidir. Nihai üretim BOM'u Altium şemasından çıkarılacaktır. PCM1808 satırı koşullu mimari adayıdır, sipariş edilen parça değildir.</t>
  </si>
  <si>
    <t>Danışman gereksinimi: aynı fantom koşullarında 1 ECM ailesi + 1 MEMS ailesi karşılaştırılır. Sensör MPN'leri sabit tutulurken ECM'nin sayısallaştırma yolu ayrıca karara bağlanır: C-05 USB ses arayüzü, ESP32-S3 ADC1 bench değerlendirmesi veya danışman onaylı PCM1808 tabanlı harici I²S ADC. PCM1808 final seçim değildir; breakout şeması ve saat/besleme/format/padleri doğrulanmalıdır.</t>
  </si>
  <si>
    <t>Aday</t>
  </si>
  <si>
    <t>Aile</t>
  </si>
  <si>
    <t>Arayüz</t>
  </si>
  <si>
    <t>Alt −3 dB (Hz)</t>
  </si>
  <si>
    <t>20–500 Hz Sistem Cevabı</t>
  </si>
  <si>
    <t>SNR (dB)</t>
  </si>
  <si>
    <t>Tekrarlanabilirlik</t>
  </si>
  <si>
    <t>Durum / Karar</t>
  </si>
  <si>
    <t>A</t>
  </si>
  <si>
    <t>ECM</t>
  </si>
  <si>
    <t>KECG2740PBJ</t>
  </si>
  <si>
    <t>Analog</t>
  </si>
  <si>
    <t>Açık −3 dB belirtilmemiş; üretici aralığı 20 Hz–20 kHz</t>
  </si>
  <si>
    <t>https://tr.farnell.com/kingstate/kecg2740pbj/microphone-miniature-electret/dp/1299885</t>
  </si>
  <si>
    <t>ANA SATIN ALMA ADAYI — Same Sky CMC-6036-40T yalnız teknik/yedek adaydır.</t>
  </si>
  <si>
    <t>ECM Yedek</t>
  </si>
  <si>
    <t>Same Sky</t>
  </si>
  <si>
    <t>CMC-6036-40T</t>
  </si>
  <si>
    <t>https://www.sameskydevices.com/product/resource/cmc-6036-40t.pdf</t>
  </si>
  <si>
    <t>YEDEK ECM ADAYI — Aynı ECM ailesi; ayrı karşılaştırma ailesi değildir.</t>
  </si>
  <si>
    <t>Uygulama sırası</t>
  </si>
  <si>
    <t>NİHAİ SEÇİM NOTU</t>
  </si>
  <si>
    <t>Bu alan yalnızca karşılaştırma ölçümleri tamamlandıktan sonra doldurulur. Öznel dinleme tek başına seçim kanıtı değildir; seçim frekans cevabı, SNR ve tekrarlanabilirlik verileriyle desteklenir.</t>
  </si>
  <si>
    <t>Test ID</t>
  </si>
  <si>
    <t>Ders Kapısı</t>
  </si>
  <si>
    <t>Proje Gate</t>
  </si>
  <si>
    <t>Test Konusu</t>
  </si>
  <si>
    <t>Düzenek</t>
  </si>
  <si>
    <t>Prosedür</t>
  </si>
  <si>
    <t>Kabul Kriteri</t>
  </si>
  <si>
    <t>Sorumlu</t>
  </si>
  <si>
    <t>İlgili SYS</t>
  </si>
  <si>
    <t>T-PRE-01</t>
  </si>
  <si>
    <t>1. dönem 3.–4. hafta</t>
  </si>
  <si>
    <t>W4 hazırlık</t>
  </si>
  <si>
    <t>ECM/MEMS LF datasheet kontrolü</t>
  </si>
  <si>
    <t>Üretici datasheetleri</t>
  </si>
  <si>
    <t>Her aday için lower −3 dB açıkça veriliyorsa kaydet; verilmiyorsa bunu belirt.</t>
  </si>
  <si>
    <t>Kaynaklı LF bilgi + satın alma aday kararı.</t>
  </si>
  <si>
    <t>Kaan (A) + Ozan sourcing</t>
  </si>
  <si>
    <t>PLANLI</t>
  </si>
  <si>
    <t>SYS-021</t>
  </si>
  <si>
    <t>T-E2E-01</t>
  </si>
  <si>
    <t>1. dönem 5. hafta</t>
  </si>
  <si>
    <t>G1</t>
  </si>
  <si>
    <t>Baştan sona bilinen test işareti</t>
  </si>
  <si>
    <t>MCU + PC</t>
  </si>
  <si>
    <t>Module B sentetik işaret üretir; Module C capture doğrular.</t>
  </si>
  <si>
    <t>Bilinen işaret E2E alınmış; continuity gözlenebilir.</t>
  </si>
  <si>
    <t>Ozan (B) + Ege (C)</t>
  </si>
  <si>
    <t>SYS-001/026</t>
  </si>
  <si>
    <t>T-I2S-01</t>
  </si>
  <si>
    <t>1. dönem 5.–6. hafta</t>
  </si>
  <si>
    <t>I²S/ADC edinim saat ve formatı</t>
  </si>
  <si>
    <t>Mantık analizörü / scope</t>
  </si>
  <si>
    <t>Ozan (B)</t>
  </si>
  <si>
    <t>SYS-003/004</t>
  </si>
  <si>
    <t>T-USB-01</t>
  </si>
  <si>
    <t>1. dönem 8. hafta</t>
  </si>
  <si>
    <t>W8</t>
  </si>
  <si>
    <t>≥30 dk continuous stream / continuity</t>
  </si>
  <si>
    <t>Native USB aday transport</t>
  </si>
  <si>
    <t>Kesintisiz stream çalıştır; sequence/overflow telemetry kaydet.</t>
  </si>
  <si>
    <t>Drop rate ve overrun sayısı otomatik raporlanır; sonuç ölçülür, önceden uydurulmaz.</t>
  </si>
  <si>
    <t>SYS-005/007</t>
  </si>
  <si>
    <t>T-USB-02</t>
  </si>
  <si>
    <t>1. dönem 5.–12. hafta</t>
  </si>
  <si>
    <t>Protocol verification</t>
  </si>
  <si>
    <t>Yeniden senkronizasyon / error handling</t>
  </si>
  <si>
    <t>Kayıtlı byte stream / test doubles</t>
  </si>
  <si>
    <t>Chosen 3. hafta framing strategy için corruption/gap testleri.</t>
  </si>
  <si>
    <t>Host failure mode documented; CRC varsa CRC test edilir.</t>
  </si>
  <si>
    <t>SYS-006</t>
  </si>
  <si>
    <t>T-AUD-01</t>
  </si>
  <si>
    <t>20–500 Hz frekans cevabı</t>
  </si>
  <si>
    <t>Akustik fantom + referans</t>
  </si>
  <si>
    <t>Complete chain swept/multitone response ölç.</t>
  </si>
  <si>
    <t>20–500 Hz response curve + conditions raporlanır; sabit ±3 dB target YOK.</t>
  </si>
  <si>
    <t>Kaan (A) + Ege (C)</t>
  </si>
  <si>
    <t>SYS-002/025</t>
  </si>
  <si>
    <t>T-AUD-02</t>
  </si>
  <si>
    <t>1. dönem 8.–10. hafta</t>
  </si>
  <si>
    <t>Characterisation</t>
  </si>
  <si>
    <t>SNR / active-to-quiescent level ratio</t>
  </si>
  <si>
    <t>Akustik fantom</t>
  </si>
  <si>
    <t>Sabit gain/coupling altında active ve quiet runs.</t>
  </si>
  <si>
    <t>Adopted SNR convention ve result dB olarak raporlanır.</t>
  </si>
  <si>
    <t>SYS-025</t>
  </si>
  <si>
    <t>T-AUD-03</t>
  </si>
  <si>
    <t>1. dönem 11. hafta</t>
  </si>
  <si>
    <t>W11</t>
  </si>
  <si>
    <t>Tekrarlanabilirlik ≥10</t>
  </si>
  <si>
    <t>Aynı yapılandırmayı en az 10 kez tekrarla.</t>
  </si>
  <si>
    <t>Spread/std/CV gibi dispersion metrics script ile raporlanır.</t>
  </si>
  <si>
    <t>T-AUD-04</t>
  </si>
  <si>
    <t>1. dönem 12. hafta</t>
  </si>
  <si>
    <t>W12</t>
  </si>
  <si>
    <t>Şebeke girişimi</t>
  </si>
  <si>
    <t>Fantom + spektrum</t>
  </si>
  <si>
    <t>Türkiye 50 Hz fundamental + harmonikleri; grounding/cable routing koşulları.</t>
  </si>
  <si>
    <t>50 Hz ve harmonik seviyeleri koşullarıyla raporlanır.</t>
  </si>
  <si>
    <t>T-AUD-05</t>
  </si>
  <si>
    <t>1. dönem 9. hafta</t>
  </si>
  <si>
    <t>G2</t>
  </si>
  <si>
    <t>Bağımsız bilinen phantom input / feasibility</t>
  </si>
  <si>
    <t>Akustik fantom + CirCor</t>
  </si>
  <si>
    <t>Known PCG is played through the audio amplifier/exciter into the phantom. Include a reproducible synchronization marker at the start (or a documented equivalent). Align source and captured records by marker/cross-correlation; apply documented gain normalization; compute normalized correlation and normalized RMS error. Archive source, captured raw data, alignment offset, normalization factor and script.</t>
  </si>
  <si>
    <t>S1/S2 recognizable on phantom playback; alignment/normalization performed and quantitative metrics reported. Numeric pass threshold is set and recorded before the formal G2 run using bench repeatability/uncertainty, not invented in advance.</t>
  </si>
  <si>
    <t>Kaan (A) + Ozan (B) + Ege (C)</t>
  </si>
  <si>
    <t>T-AUD-06</t>
  </si>
  <si>
    <t>1. dönem 10. hafta</t>
  </si>
  <si>
    <t>W10</t>
  </si>
  <si>
    <t>ECM / MEMS karşılaştırması</t>
  </si>
  <si>
    <t>Aynı akustik fantom</t>
  </si>
  <si>
    <t>ECM ve MEMS aynı akustik fantom, eksitasyon, mekanik temas, kazanç hedefi ve ölçüm bant genişliğinde karşılaştırılır. ECM tarafında AFE+ADC edinim yolu ayrıca belgelenir. ADC gürültü tabanı ayrıca ölçülür: ADC girişi güvenli ve tanımlı test noktasında sonlandırılır veya geçerli ise AFE kapatılır; bilinmeyen pin/çıkışlar kısa devre edilmez. ADC/AFE-only RMS/FFT/noise floor kaydedilerek sensör farkı elektronik edinim farkından ayrıştırılır. Gain/fixture/rail koşulları ve dijital full-scale kullanım oranı raporlanır.</t>
  </si>
  <si>
    <t>20–500 Hz response/SNR comparison plus ADC-only noise floor; gain/fixture conditions documented. Final transducer choice measurement-justified. Repeatability campaign W11; thresholds from bench uncertainty, not invented.</t>
  </si>
  <si>
    <t>Kaan (A) + Ege (C); Ozan data path support</t>
  </si>
  <si>
    <t>SYS-021/025</t>
  </si>
  <si>
    <t>T-LAT-01</t>
  </si>
  <si>
    <t>Uçtan uca acquisition latency</t>
  </si>
  <si>
    <t>Bilinen uyaran + donanım işaretleyicisi</t>
  </si>
  <si>
    <t>Stimulus -&gt; host sample ingestion boundary ölç.</t>
  </si>
  <si>
    <t>Latency mean/jitter betik tarafından üretilen; GUI render hariç.</t>
  </si>
  <si>
    <t>T-PKT-01</t>
  </si>
  <si>
    <t>Dropped-packet rate</t>
  </si>
  <si>
    <t>≥30 dk continuous stream</t>
  </si>
  <si>
    <t>Monotonic continuity mechanism ile missed samples/frames hesapla.</t>
  </si>
  <si>
    <t>Drop rate otomatik raporlanır.</t>
  </si>
  <si>
    <t>T-PROT-01</t>
  </si>
  <si>
    <t>S2</t>
  </si>
  <si>
    <t>Breadboard / lehimli prototip karşılaştırması</t>
  </si>
  <si>
    <t>Aynı test düzeneği</t>
  </si>
  <si>
    <t>Aynı selected acquisition chain iki construction level'da ölç.</t>
  </si>
  <si>
    <t>Noise/SNR/repeatability difference raporlanır.</t>
  </si>
  <si>
    <t>Kaan (A)</t>
  </si>
  <si>
    <t>SYS-022/025</t>
  </si>
  <si>
    <t>T-MOD-A</t>
  </si>
  <si>
    <t>2. dönem 7. hafta</t>
  </si>
  <si>
    <t>G5</t>
  </si>
  <si>
    <t>Modül A bağımsız doğrulama</t>
  </si>
  <si>
    <t>Hardware/phantom tests</t>
  </si>
  <si>
    <t>Module A own tests/interface.</t>
  </si>
  <si>
    <t>Module isolated verification complete.</t>
  </si>
  <si>
    <t>SYS-027</t>
  </si>
  <si>
    <t>T-MOD-B</t>
  </si>
  <si>
    <t>Modül B bağımsız doğrulama</t>
  </si>
  <si>
    <t>Firmware + logic analyser</t>
  </si>
  <si>
    <t>Sampling/DMA/continuity/protocol tests.</t>
  </si>
  <si>
    <t>T-MOD-C</t>
  </si>
  <si>
    <t>Modül C bağımsız doğrulama</t>
  </si>
  <si>
    <t>pcg_core + pcg_app</t>
  </si>
  <si>
    <t>Temiz depo kopyasından otomatik testler + device integration tests.</t>
  </si>
  <si>
    <t>Ege (C)</t>
  </si>
  <si>
    <t>T-QUAL-01</t>
  </si>
  <si>
    <t>1. dönem 10.–12. hafta</t>
  </si>
  <si>
    <t>W10–W12</t>
  </si>
  <si>
    <t>Kayıt kalite kontrolü</t>
  </si>
  <si>
    <t>PC app + phantom artefacts</t>
  </si>
  <si>
    <t>Calibrate threshold on phantom; inject clipping/contact-loss/interference.</t>
  </si>
  <si>
    <t>Detection behavior/rate reported; thresholds not pre-invented.</t>
  </si>
  <si>
    <t>Ege (C), Kaan artefact setup</t>
  </si>
  <si>
    <t>SYS-008/026</t>
  </si>
  <si>
    <t>T-PWR-01</t>
  </si>
  <si>
    <t>1. dönem / bench</t>
  </si>
  <si>
    <t>W4/G0 — core USB bench</t>
  </si>
  <si>
    <t>USB-only bench operation / rail stability</t>
  </si>
  <si>
    <t>Ozan (B) + Kaan (A)</t>
  </si>
  <si>
    <t>SYS-011 / PWR-01</t>
  </si>
  <si>
    <t>T-PWR-02</t>
  </si>
  <si>
    <t>Battery operation (conditional second-semester test)</t>
  </si>
  <si>
    <t>SYS-012/014 / PWR-02</t>
  </si>
  <si>
    <t>T-PWR-03</t>
  </si>
  <si>
    <t>Charge / protection / NTC behavior (conditional)</t>
  </si>
  <si>
    <t>Selected 1S pack + charger/power-path</t>
  </si>
  <si>
    <t>Only if charger architecture is approved: test charge status and temperature/protection fault behavior against selected component and pack data sheets.</t>
  </si>
  <si>
    <t>Charge/protection/temperature response matches selected design limits and is recorded (PWR-03).</t>
  </si>
  <si>
    <t>SYS-012/014 / PWR-03</t>
  </si>
  <si>
    <t>T-CHAR-01</t>
  </si>
  <si>
    <t>Final characterisation</t>
  </si>
  <si>
    <t>Tam karakterizasyon kampanyası</t>
  </si>
  <si>
    <t>Akustik fantom + automation</t>
  </si>
  <si>
    <t>Mandatory six metrics + construction/conditions campaign.</t>
  </si>
  <si>
    <t>Reproducible report output.</t>
  </si>
  <si>
    <t>Team; each module owns its part</t>
  </si>
  <si>
    <t>SYS-025/026</t>
  </si>
  <si>
    <t>T-AUTO-01</t>
  </si>
  <si>
    <t>1. dönem / sürekli</t>
  </si>
  <si>
    <t>Reproducibility</t>
  </si>
  <si>
    <t>Otomatik / yeniden üretilebilir sonuç</t>
  </si>
  <si>
    <t>Temiz depo kopyası + test scriptleri</t>
  </si>
  <si>
    <t>Aynı girdilerle test/ölçüm scriptlerini temiz kopyadan yeniden çalıştır.</t>
  </si>
  <si>
    <t>Aynı girdilerle aynı sayısal sonuçlar; elle girilmiş ölçüm sonucu yok.</t>
  </si>
  <si>
    <t>Ege (C) + ilgili modül sahibi</t>
  </si>
  <si>
    <t>SYS-026</t>
  </si>
  <si>
    <t>T-PWR-04</t>
  </si>
  <si>
    <t>2. dönem / koşullu</t>
  </si>
  <si>
    <t>Brownout / düşük besleme / reset davranışı</t>
  </si>
  <si>
    <t>Seçilen güç kaynağı + ESP32-S3 + PC stream</t>
  </si>
  <si>
    <t>Besleme düşüşü kontrollü uygulanır; reset/yeniden başlama ve kayıt sürekliliği gözlenir. DevKit sınırları aşılmaz.</t>
  </si>
  <si>
    <t>Güvenli reset/yeniden başlama davranışı ve olay kaydı; bileşen limitleri korunur (PWR-04).</t>
  </si>
  <si>
    <t>KOŞULLU — GÜÇ MİMARİSİNE BAĞLI</t>
  </si>
  <si>
    <t>PWR-04 / SYS-011/012</t>
  </si>
  <si>
    <t>T-PWR-05</t>
  </si>
  <si>
    <t>1. dönem bench + 2. dönem tekrar</t>
  </si>
  <si>
    <t>W6 baseline; W10 optional A/B; S2 repeat</t>
  </si>
  <si>
    <t>Mikrofon/AFE rail gürültüsü ve SNR etkisi</t>
  </si>
  <si>
    <t>PLANLI — BASELINE ÖNCE; LDO OPSİYONEL</t>
  </si>
  <si>
    <t>T-PWR-06</t>
  </si>
  <si>
    <t>Çalışma süresi / continuous-acquisition runtime</t>
  </si>
  <si>
    <t>Seçilen batarya + gerçek edinim/kayıt yükü</t>
  </si>
  <si>
    <t>Yalnız batarya mimarisi seçilirse continuous acquisition ve kayıt altında çalışma süresi otomatik kaydedilir.</t>
  </si>
  <si>
    <t>Gerçek runtime raporlanır; önceden sabitlenmiş 3 h hedefi yoktur (PWR-06).</t>
  </si>
  <si>
    <t>KOŞULLU — BATARYA MİMARİSİNE BAĞLI</t>
  </si>
  <si>
    <t>PWR-06 / SYS-013</t>
  </si>
  <si>
    <t>ICD-01</t>
  </si>
  <si>
    <t>1. dönem / 3.–4. hafta</t>
  </si>
  <si>
    <t>W4 design freeze</t>
  </si>
  <si>
    <t>PCB-03</t>
  </si>
  <si>
    <t>2. dönem / yalnız özel USB PCB onaylanırsa</t>
  </si>
  <si>
    <t>Conditional PCB review</t>
  </si>
  <si>
    <t>USB D+/D− diferansiyel empedans / stack-up incelemesi</t>
  </si>
  <si>
    <t>Fabrication stack-up + Espressif USB guideline</t>
  </si>
  <si>
    <t>Özel PCB native USB hatlarını yönlendirecekse stack-up ve fab rules üzerinden impedance/routing kontrolü yapılır.</t>
  </si>
  <si>
    <t>Katman/empedans ve üretim kuralları gerekçelendirilmiş; DevKit'in onboard USB'si kullanılırsa taşıyıcı kart için N/A.</t>
  </si>
  <si>
    <t>KOŞULLU — ÖZEL PCB YOKSA N/A</t>
  </si>
  <si>
    <t>SYS-019</t>
  </si>
  <si>
    <t>DSET-01</t>
  </si>
  <si>
    <t>Proje başlangıcı ve rapor</t>
  </si>
  <si>
    <t>Data governance</t>
  </si>
  <si>
    <t>CirCor DigiScope dataset sabitleme ve provenance</t>
  </si>
  <si>
    <t>Dataset release/readme + repository config</t>
  </si>
  <si>
    <t>Sürüm/indirme kaynağı, dosya listesi, lisans/ kullanım bilgisi ve checksum/provenance kayıt altına alınır.</t>
  </si>
  <si>
    <t>Birincil dataset sabit; proje sırasında kaynak değişikliği kontrollü kararla yapılır.</t>
  </si>
  <si>
    <t>SYS-023</t>
  </si>
  <si>
    <t>ETH-01</t>
  </si>
  <si>
    <t>Sürekli</t>
  </si>
  <si>
    <t>Ethics scope</t>
  </si>
  <si>
    <t>İnsan deneği kaydı yasağına uygunluk</t>
  </si>
  <si>
    <t>Proje kayıt listesi + prosedür</t>
  </si>
  <si>
    <t>Fiziksel ölçüm prosedürü ve kayıt klasörleri gözden geçirilir; fiziksel kayıtlar yalnız fantomdan alınır.</t>
  </si>
  <si>
    <t>İnsan üzerinden fiziksel kayıt yok; uygunluk dokümanda kayıtlı.</t>
  </si>
  <si>
    <t>Tüm ekip</t>
  </si>
  <si>
    <t>SABİT KAPSAM KOŞULU</t>
  </si>
  <si>
    <t>SYS-024</t>
  </si>
  <si>
    <t>MOD-VER-01</t>
  </si>
  <si>
    <t>Modül A/B/C bağımsız doğrulama tamamlanma kontrolü</t>
  </si>
  <si>
    <t>T-MOD-A, T-MOD-B, T-MOD-C raporları</t>
  </si>
  <si>
    <t>Her modül kendi arayüzü ve test kanıtını teslim eder; eksik varsa G5 kapatılmaz.</t>
  </si>
  <si>
    <t>Üç modül için bağımsız test kanıtı ve izlenebilir arayüz dokümanı mevcut.</t>
  </si>
  <si>
    <t>Ekip koordinatörü + modül sahipleri</t>
  </si>
  <si>
    <t>DERS KAPILARI — W5: sentetik/bilinen sinyal E2E • W9: bağımsız bilinen PCG'nin fantom üzerinden sayısal doğrulaması • 2. dönem W7: A/B/C modülleri ayrı doğrulanmış olmalı</t>
  </si>
  <si>
    <t>Danışman kapsamı ve gate koşulları sabittir. Açık teknik kararlar 3. hafta inceleme ve 4. hafta sipariş kapısında kanıtla kapatılmalı; kaynağı teyit edilmemiş arayüz/fiyat kesin kabul edilmemelidir.</t>
  </si>
  <si>
    <t>Rev01 Tasarım Durumu</t>
  </si>
  <si>
    <t>Alternatif / Koşullu Seçenek</t>
  </si>
  <si>
    <t>Karar Zamanı</t>
  </si>
  <si>
    <t>Karar Ölçütü</t>
  </si>
  <si>
    <t>Etkilenen Alan</t>
  </si>
  <si>
    <t>Dönüştürücü</t>
  </si>
  <si>
    <t>3. hafta seçim / 4. hafta dondurma</t>
  </si>
  <si>
    <t>Düşük frekans veri sayfası kanıtı + 20–500 Hz cevap + SNR + ≥10 tekrar</t>
  </si>
  <si>
    <t>Akustik + edinim</t>
  </si>
  <si>
    <t>Danışman planı + veri sayfaları</t>
  </si>
  <si>
    <t>Low-noise AFE required for ECM path</t>
  </si>
  <si>
    <t>MCP6022-I/P current breadboard aday</t>
  </si>
  <si>
    <t>ÖNERİLEN</t>
  </si>
  <si>
    <t>3. hafta–4</t>
  </si>
  <si>
    <t>Noise floor + gain/bandwidth + supply compatibility</t>
  </si>
  <si>
    <t>Module A</t>
  </si>
  <si>
    <t>Component list + supplier/datasheet</t>
  </si>
  <si>
    <t>MEMS yolu</t>
  </si>
  <si>
    <t>3.–4. hafta</t>
  </si>
  <si>
    <t>I²S zamanlaması + phantom cevabı</t>
  </si>
  <si>
    <t>B arayüzü</t>
  </si>
  <si>
    <t>3. hafta selection / 4. hafta dondurma</t>
  </si>
  <si>
    <t>I²S/ADC + DMA + native wired transport + availability</t>
  </si>
  <si>
    <t>Module B</t>
  </si>
  <si>
    <t>Espressif ADC: https://docs.espressif.com/projects/esp-idf/en/latest/esp32s3/api-reference/peripherals/adc/index.html | Continuous/DMA: https://docs.espressif.com/projects/esp-idf/en/latest/esp32s3/api-reference/peripherals/adc/adc_continuous.html</t>
  </si>
  <si>
    <t>USB transport class</t>
  </si>
  <si>
    <t>ESP32-S3 yerel USB physical capability</t>
  </si>
  <si>
    <t>CDC-ACM vs vendor/bulk framing</t>
  </si>
  <si>
    <t>AÇIK — 3. HAFTA</t>
  </si>
  <si>
    <t>Throughput, implementation complexity, host support, observability</t>
  </si>
  <si>
    <t>B↔C</t>
  </si>
  <si>
    <t>3. hafta B↔C gereksinimleri</t>
  </si>
  <si>
    <t>Protocol integrity</t>
  </si>
  <si>
    <t>Sequence/continuity mechanism required</t>
  </si>
  <si>
    <t>Application CRC/checksum vs USB lower-layer integrity only</t>
  </si>
  <si>
    <t>Taslak; 12. hafta protokol dondurma</t>
  </si>
  <si>
    <t>Detectability, resync, CPU overhead, testability</t>
  </si>
  <si>
    <t>Breadboard + soldered prototype comparison</t>
  </si>
  <si>
    <t>Custom PCB only if measurements justify</t>
  </si>
  <si>
    <t>DANIŞMAN GEREKSİNİMİ + ÖZEL PCB KOŞULLU</t>
  </si>
  <si>
    <t>Semester I/II</t>
  </si>
  <si>
    <t>Noise + SNR + repeatability</t>
  </si>
  <si>
    <t>Hardware</t>
  </si>
  <si>
    <t>Advisor plan</t>
  </si>
  <si>
    <t>Güç</t>
  </si>
  <si>
    <t>USB power sufficient for Semester-I bench baseline</t>
  </si>
  <si>
    <t>Battery/charger/regulator architecture</t>
  </si>
  <si>
    <t>Noise, runtime, protection, power measurement</t>
  </si>
  <si>
    <t>Power</t>
  </si>
  <si>
    <t>Advisor Grup B list</t>
  </si>
  <si>
    <t>CirCor DigiScope primary</t>
  </si>
  <si>
    <t>CinC 2016 only advisor-listed alternative if needed; do not switch casually</t>
  </si>
  <si>
    <t>SABİT BİRİNCİL VERİ SETİ</t>
  </si>
  <si>
    <t>Project start</t>
  </si>
  <si>
    <t>Module C / research</t>
  </si>
  <si>
    <t>ECM sayısallaştırma</t>
  </si>
  <si>
    <t>ECM analog çıkışının testte dijitalleştirilmesi</t>
  </si>
  <si>
    <t>C-05 bölüm USB audio interface mevcut değil (Ozan lab audit, 12.10.2026). Ozan'ın kişisel 3,5 mm→USB adaptörü yalnız model/analog input/capture ve 20–500 Hz yanıt doğrulanırsa keşif amaçlı kayıt aracı olabilir; ucuz codec'lerde AC-coupling/high-pass, mic bias veya AGC/gain-shaping etkisi test edilmelidir. Kalibre referans veya ECM→ADC→ESP32→USB yolunun otomatik ikamesi değildir. Alternatifler: (1) ESP32-S3 ADC1 continuous/DMA bench değerlendirmesi — audio-grade varsayılmaz; (2) danışman onaylı PCM1808 tabanlı hazır I²S ADC breakout. PCM1808 için exact SKU/şema, MCLK, 5 V analog/3,3 V digital, FMT/MD ayarı ve input coupling/full-scale doğrulanmadan yalnız bu modül sipariş edilmez; diğer W4 kalemleri bağımsızdır.</t>
  </si>
  <si>
    <t>C-05 mevcut değil; kişisel dongle uygunluğu açık; danışman onayı + ADC/clock/besleme tasarımı</t>
  </si>
  <si>
    <t>Modül A + Modül B</t>
  </si>
  <si>
    <t>C-05; Espressif ADC docs; TI PCM1808: https://www.ti.com/lit/ds/symlink/pcm1808.pdf</t>
  </si>
  <si>
    <t>Düşük gürültülü test beslemesi</t>
  </si>
  <si>
    <t>AMS1117 kullanılmayacak</t>
  </si>
  <si>
    <t>OPSİYONEL — ÖLÇÜM GEREKÇESİ</t>
  </si>
  <si>
    <t>Baseline rail-noise/SNR by W6; optional LDO A/B by W10 if justified</t>
  </si>
  <si>
    <t>Besleme gürültüsü/SNR A-B testi, giriş aralığı, çıkış akımı, ortak GND</t>
  </si>
  <si>
    <t>LP5907 datasheet/product: https://www.ti.com/product/LP5907; Turkey IC listing not a breakout and stock status to reconfirm: https://www.ozdisan.com/p/lineer-voltaj-regulatorleri-279/texas-lp5907mfx-3-3-nopb-588254</t>
  </si>
  <si>
    <t>USB kabloları</t>
  </si>
  <si>
    <t>İki ayrı veri kablosu</t>
  </si>
  <si>
    <t>AÇIK — FİZİKSEL KONTROL</t>
  </si>
  <si>
    <t>Kart elimize ulaştığında / W3</t>
  </si>
  <si>
    <t>Gerçek konnektör tipi ve her iki portun işlevi</t>
  </si>
  <si>
    <t>Modül B</t>
  </si>
  <si>
    <t>Referans ölçüm yöntemi</t>
  </si>
  <si>
    <t>Referans sensör seçimi</t>
  </si>
  <si>
    <t>Önce bölüm laboratuvarı envanteri sorulur. Uygun referans sensör yoksa Kaan, gürültü tabanı ve fantom seviyesine göre sensör veya bağıl ölçüm yöntemini seçer.</t>
  </si>
  <si>
    <t>AÇIK — SAHİBİ KAAN</t>
  </si>
  <si>
    <t>W3 mekanik/ölçüm incelemesi</t>
  </si>
  <si>
    <t>Gürültü tabanı, frekans aralığı, montaj ve kalibrasyon durumu</t>
  </si>
  <si>
    <t>Modül A / Kaan</t>
  </si>
  <si>
    <t>DSS-SYS-001 Rev02 §6.4; T-AUD-01</t>
  </si>
  <si>
    <t>İkinci eksiter</t>
  </si>
  <si>
    <t>Farklı tip alternatif eksiter</t>
  </si>
  <si>
    <t>Birincil 30 mm/12 Ω eksitere ek olarak farklı aday eklenir; tam SKU ve fiyat sipariş öncesi seçilir. İki kaynak da 20–500 Hz aralığında bench ile karakterize edilir.</t>
  </si>
  <si>
    <t>KOŞULLU A-GRUBU ADAYI</t>
  </si>
  <si>
    <t>W3 seçimi / W4 siparişi</t>
  </si>
  <si>
    <t>S1/S2 oynatımı, seviye, frekans cevabı, mekanik kuplaj</t>
  </si>
  <si>
    <t>Kalem ID</t>
  </si>
  <si>
    <t>Gerçek MPN / Tanım</t>
  </si>
  <si>
    <t>Sipariş Adedi</t>
  </si>
  <si>
    <t>Ürün URL</t>
  </si>
  <si>
    <t>Sipariş Tarihi</t>
  </si>
  <si>
    <t>Teslim Tarihi</t>
  </si>
  <si>
    <t>Fiş / Sipariş No</t>
  </si>
  <si>
    <t>ID</t>
  </si>
  <si>
    <t>Kalem / parça</t>
  </si>
  <si>
    <t>Aday / tanım</t>
  </si>
  <si>
    <t>Tedarikçi / sorumlu</t>
  </si>
  <si>
    <t>Birim fiyat (TRY)</t>
  </si>
  <si>
    <t>Toplam (TRY)</t>
  </si>
  <si>
    <t>Durum / teknik not / bağlantı</t>
  </si>
  <si>
    <t>A-13</t>
  </si>
  <si>
    <t>OPSİYONEL BENCH / ZORUNLU DEĞİL</t>
  </si>
  <si>
    <t>P2 / ölçüm gerekçesi varsa</t>
  </si>
  <si>
    <t>Düşük gürültülü 3,3 V LDO test modülü</t>
  </si>
  <si>
    <t>LP5907-3.3 / TPS7A20 sınıfı düşük-gürültülü modül; exact breakout SKU TBD</t>
  </si>
  <si>
    <t>Türkiye'de hazır breakout teyit edilmedi</t>
  </si>
  <si>
    <t>A-14</t>
  </si>
  <si>
    <t>OPSİYONEL — KAAN SEÇECEK</t>
  </si>
  <si>
    <t>P1 / karar bekliyor</t>
  </si>
  <si>
    <t>Referans sensör veya referans ölçüm yöntemi</t>
  </si>
  <si>
    <t>Kaan seçecek: önce laboratuvar envanteri; yoksa düşük gürültü tabanına uygun sensör veya belgelenmiş bağıl referans</t>
  </si>
  <si>
    <t>Sorumlu: Kaan / Modül A</t>
  </si>
  <si>
    <t>Şimdilik satın alma yok. Ucuz ivmeölçer/piezo otomatik olarak uygun referans sayılmaz. Gürültü tabanı, 20–500 Hz davranışı, mekanik montaj ve kalibrasyon durumu belgelenmeli.</t>
  </si>
  <si>
    <t>A-15</t>
  </si>
  <si>
    <t>OPSİYONEL — ALTERNATİF EKSİTER</t>
  </si>
  <si>
    <t>P2 / bütçeye bağlı</t>
  </si>
  <si>
    <t>Alternatif ikinci eksiter</t>
  </si>
  <si>
    <t>Birincil A-07'den farklı tipte küçük hoparlör/transdüser; tam SKU sonra seçilecek</t>
  </si>
  <si>
    <t>Tedarikçi/SKU W3'te seçilecek</t>
  </si>
  <si>
    <t>G2/S1-S2 oynatım riskini azaltmak için yedek aday. Bu satırda fiyat veya stok uydurulmamıştır; exact product page/MPN sipariş öncesi eklenecek. Mevcut aday listesini incelemek için: https://www.motorobit.com/hoparlor-ve-buzzer?pg=4</t>
  </si>
  <si>
    <t>A-16</t>
  </si>
  <si>
    <t>USB 2.0 veri kablosu — Native USB</t>
  </si>
  <si>
    <t>A-17</t>
  </si>
  <si>
    <t>USB 2.0 veri kablosu — USB-UART / log</t>
  </si>
  <si>
    <t>A-18</t>
  </si>
  <si>
    <t>GRUP A — KOŞULLU</t>
  </si>
  <si>
    <t>2 × 1x22 dişi header, 2.54 mm</t>
  </si>
  <si>
    <t>Taşıyıcı kart/arayüz denemesi onaylanırsa; iki sıra aralığı DevKit fiziksel çiziminden doğrulanmalı</t>
  </si>
  <si>
    <t>Türkiye tedarikçisi sonra seçilecek</t>
  </si>
  <si>
    <t>Şu an sipariş edilmeyecek. Bu 2×1x22 dişi header ancak taşıyıcı/arayüz kartı tasarımı ayrıca gerekçelendirilip onaylanırsa değerlendirilir; özel PCB bu revizyonda zorunlu değildir. Önce DevKit'in fiziksel ölçüleri ve iki sıra aralığı resmî çizimden doğrulanmalıdır.</t>
  </si>
  <si>
    <t>A-19</t>
  </si>
  <si>
    <t>Tek damarlı bağlantı teli + eksik jumper/header seti</t>
  </si>
  <si>
    <t>A-20</t>
  </si>
  <si>
    <t>PC ses çıkışı → PAM8403 giriş kablosu</t>
  </si>
  <si>
    <t>A-21</t>
  </si>
  <si>
    <t>GRUP C / erişim</t>
  </si>
  <si>
    <t>P1 / W3</t>
  </si>
  <si>
    <t>Lehim istasyonu + lehim erişimi</t>
  </si>
  <si>
    <t>Bölüm laboratuvarında fiziksel erişim</t>
  </si>
  <si>
    <t>THKÜ laboratuvarı</t>
  </si>
  <si>
    <t>A-22</t>
  </si>
  <si>
    <t>GRUP A — MEKANİK</t>
  </si>
  <si>
    <t>P1 / boyut sonrası</t>
  </si>
  <si>
    <t>Akustik kuplaj adaptörü, O-ring ve tüp</t>
  </si>
  <si>
    <t>Geometri/çap/uzunluk Kaan'ın fantom tasarımına göre</t>
  </si>
  <si>
    <t>Tedarikçi ve miktar sonra</t>
  </si>
  <si>
    <t>Sipariş öncesi göğüs başlığı, mikrofon portu ve cavity geometrisi belirlenir. G2 haftasına kadar mekanik işin test edilebilir olması hedeflenir.</t>
  </si>
  <si>
    <t>A-23</t>
  </si>
  <si>
    <t>KOŞULLU — DANIŞMAN ONAYI</t>
  </si>
  <si>
    <t>P1 / danışman kararı bekleniyor</t>
  </si>
  <si>
    <t>ECM için harici audio ADC breakout</t>
  </si>
  <si>
    <t>PCM1808 tabanlı I²S ADC modülü; kesin MPN/SKU ve şema doğrulanacak</t>
  </si>
  <si>
    <t>Üçüncü taraf modül listesi; üretici tasarımı değil</t>
  </si>
  <si>
    <t>Koşullu adaydır; satın alınmış değildir. PCM1808 IC: 24-bit, 8–96 kHz, 99 dB tipik SNR; 5 V analog, 3,3 V dijital ve MCLK/SCKI gerekir. Sipariş öncesi exact modül SKU/şema, MCLK erişimi, I²S BCK/LRCK/DOUT, MD0/MD1/FMT, input coupling/full-scale ve güç/pad bağlantıları doğrulanır. Danışman onayı olmadan alınmaz. IC datasheet'i modül performansını garanti etmez.</t>
  </si>
  <si>
    <t>Bütçe özeti</t>
  </si>
  <si>
    <t>Değer (TRY)</t>
  </si>
  <si>
    <t>Opsiyonel LDO modülü fiyatı (henüz doğrulanmış modül/SKU yok; bütçeye dahil değil)</t>
  </si>
  <si>
    <t>Not: Ek kalemler teklif veya gerçek sipariş değildir. 13.10.2026 itibarıyla düşük-gürültülü LDO zorunlu Grup A kalemi değildir; rail-noise/SNR baseline W6'ya kadar alınır, yalnız gerekçelendirilirse W10 opsiyonel A/B değerlendirilir. PCM1808 tabanlı üçüncü taraf kartlar için şema/pad/MCLK/format/besleme doğrulanmadığından yalnız bu kalem danışman kararına bağlıdır. C-05 bölümde yoktur; kişisel dongle 20–500 Hz capture uygunluğu açık kalır.</t>
  </si>
  <si>
    <t>Konu</t>
  </si>
  <si>
    <t>Rev02 kararı / aksiyon</t>
  </si>
  <si>
    <t>Zaman / gate</t>
  </si>
  <si>
    <t>Siparişe etkisi</t>
  </si>
  <si>
    <t>Kaynak / not</t>
  </si>
  <si>
    <t>R02-001</t>
  </si>
  <si>
    <t>ECM sayısallaştırma yolu</t>
  </si>
  <si>
    <t>KRİTİK AÇIK</t>
  </si>
  <si>
    <t>Ekip + danışman; Modül A/B</t>
  </si>
  <si>
    <t>C-05 advisor component list; Espressif ADC continuous docs: https://docs.espressif.com/projects/esp-idf/en/latest/esp32s3/api-reference/peripherals/adc/adc_continuous.html | ESP32-S3 ADC overview: https://docs.espressif.com/projects/esp-idf/en/latest/esp32s3/api-reference/peripherals/adc/index.html | PCM1808: https://www.ti.com/lit/ds/symlink/pcm1808.pdf</t>
  </si>
  <si>
    <t>R02-002</t>
  </si>
  <si>
    <t>R02-003</t>
  </si>
  <si>
    <t>Düşük gürültülü LDO test modülü</t>
  </si>
  <si>
    <t>Kaan (A) + Ozan (B)</t>
  </si>
  <si>
    <t>Baseline no later than W6; W10 optional A/B only if measurement justifies and a verified module can be sourced</t>
  </si>
  <si>
    <t>TI LP5907: https://www.ti.com/product/LP5907 | Özdisan listing is bare LP5907MFX-3.3/NOPB, not a breakout: https://www.ozdisan.com/p/lineer-voltaj-regulatorleri-279/texas-lp5907mfx-3-3-nopb-588254</t>
  </si>
  <si>
    <t>R02-004</t>
  </si>
  <si>
    <t>R02-005</t>
  </si>
  <si>
    <t>R02-006</t>
  </si>
  <si>
    <t>Reference measurement sensor/method</t>
  </si>
  <si>
    <t>Kaan first checks lab inventory. If no appropriate reference instrument exists, select by noise floor, 20–500 Hz behavior, mounting and calibration state; otherwise report relative transfer function with limitations, not absolute SPL calibration.</t>
  </si>
  <si>
    <t>OPEN — OWNER KAAN</t>
  </si>
  <si>
    <t>W3 mechanism/measurement review</t>
  </si>
  <si>
    <t>No purchase until selected; don't automatically choose a cheap accelerometer/piezo</t>
  </si>
  <si>
    <t>R02-007</t>
  </si>
  <si>
    <t>Second exciter</t>
  </si>
  <si>
    <t>Add one different-type alternative candidate to reduce G2 risk, but select exact MPN/product and source page before purchase. Do not assume an unspecified 8 Ω speaker is fit until bench test.</t>
  </si>
  <si>
    <t>OPTIONAL / W3 selection</t>
  </si>
  <si>
    <t>W3 selection / W4 order gate</t>
  </si>
  <si>
    <t>Separate item A-15; price remains TBD</t>
  </si>
  <si>
    <t>R02-008</t>
  </si>
  <si>
    <t>Solder station access</t>
  </si>
  <si>
    <t>Ozan 12.10.2026 tarihinde bölümde lehim istasyonu ve lehime erişim bulunduğunu bildirdi. Bu bilgi yalnız erişim/mevcudiyet durumunu kapatır; kalibrasyon/işlev veya erişim saatleri garantisi değildir. EB pad bağlantısı öncesi uygun kullanım zamanı teyit edilir.</t>
  </si>
  <si>
    <t>CLOSED — MEVCUDİYET BİLDİRİLDİ</t>
  </si>
  <si>
    <t>Ekip</t>
  </si>
  <si>
    <t>12.10.2026; EB kablolaması öncesi erişim saati</t>
  </si>
  <si>
    <t>Lab erişimi bildirildiği için satın alma planlanmaz; kullanım/erişim teyidi gerekir.</t>
  </si>
  <si>
    <t>Ozan'ın 12.10.2026 lab audit bildirimi</t>
  </si>
  <si>
    <t>R02-009</t>
  </si>
  <si>
    <t>Jumpers, wire, female headers, audio cable</t>
  </si>
  <si>
    <t>W3/W4</t>
  </si>
  <si>
    <t>R02-010</t>
  </si>
  <si>
    <t>G1 vs G2 definition</t>
  </si>
  <si>
    <t>G1 at W5 is known/synthetic signal captured end-to-end; physical phantom replay and S1/S2 feasibility belongs to G2 at W9.</t>
  </si>
  <si>
    <t>CORRECTED IN REV02</t>
  </si>
  <si>
    <t>All modules</t>
  </si>
  <si>
    <t>Immediate</t>
  </si>
  <si>
    <t>Prevents premature phantom requirement in W5</t>
  </si>
  <si>
    <t>DSS-SYS-001 Rev02 §14; Test_Matrisi</t>
  </si>
  <si>
    <t>R02-011</t>
  </si>
  <si>
    <t>G2 numeric comparison metric</t>
  </si>
  <si>
    <t>Use synchronization marker/equivalent and cross-correlation alignment; document gain normalization; compute normalized correlation and normalized RMS error. Set numerical threshold before formal run from bench repeatability/uncertainty.</t>
  </si>
  <si>
    <t>DEFINED — THRESHOLD AFTER BENCH</t>
  </si>
  <si>
    <t>Kaan (A) + Ege (C) + Ozan (B)</t>
  </si>
  <si>
    <t>Before W9 formal run</t>
  </si>
  <si>
    <t>T-AUD-05 acceptance procedure strengthened</t>
  </si>
  <si>
    <t>Test_Matrisi Rev02 / T-AUD-05</t>
  </si>
  <si>
    <t>R02-012</t>
  </si>
  <si>
    <t>Power test ID alignment</t>
  </si>
  <si>
    <t>Canonical test register now expands T-PWR-01…06 to map PWR-01…06: USB-only, battery operation, charge/protection, brownout, mic/AFE rail noise, runtime.</t>
  </si>
  <si>
    <t>Rev02 verification</t>
  </si>
  <si>
    <t>Appendix C and test matrix to use same IDs</t>
  </si>
  <si>
    <t>DSS-SYS-001 Rev02 §7.3 and Ek C</t>
  </si>
  <si>
    <t>R02-013</t>
  </si>
  <si>
    <t>Pre-test and traceability IDs</t>
  </si>
  <si>
    <t>Include T-PRE-01 in system specification and add ICD-01, conditional PCB-02/03, DSET-01, ETH-01 and MOD-VER-01 to canonical test/verification register.</t>
  </si>
  <si>
    <t>Relevant module owners</t>
  </si>
  <si>
    <t>Consistent traceability register</t>
  </si>
  <si>
    <t>Test_Matrisi Rev02 + DOCX Ek C</t>
  </si>
  <si>
    <t>R02-014</t>
  </si>
  <si>
    <t>Passive kit spend</t>
  </si>
  <si>
    <t>Satın_Alma A-05</t>
  </si>
  <si>
    <t>R02-015</t>
  </si>
  <si>
    <t>Silikon and phantom mechanical parts</t>
  </si>
  <si>
    <t>Finalize chestpiece/cavity/coupling geometry before buying full 1 m × 0.25 m silicone sheet. Prefer a sample/cut length if it supports tests. Select O-ring/tube/adaptor dimensions before order.</t>
  </si>
  <si>
    <t>OPEN — MECHANICAL GEOMETRY</t>
  </si>
  <si>
    <t>W3 geometry; W4 order</t>
  </si>
  <si>
    <t>Avoids buying oversized/incorrect material</t>
  </si>
  <si>
    <t>Satın_Alma A-09/A-10; Rev02_Ek_Kalemler A-22</t>
  </si>
  <si>
    <t>R02-016</t>
  </si>
  <si>
    <t>Main BOM scope</t>
  </si>
  <si>
    <t>ANA_BOM, elektronik/edinim arabirimi için ön BOM'dur. Tüm mekanik/fantom sarfları Satın_Alma ve Rev02_Ek_Kalemler'de tutulur; fantom mekanik kalemleri üretim/Altium BOM'una karıştırılmaz.</t>
  </si>
  <si>
    <t>CLARIFIED IN REV02</t>
  </si>
  <si>
    <t>Prevents procurement and design BOM from being confused</t>
  </si>
  <si>
    <t>NOTLAR; ANA_BOM; Satın_Alma</t>
  </si>
  <si>
    <t>R02-017</t>
  </si>
  <si>
    <t>PCM1808 breakout doğrulaması</t>
  </si>
  <si>
    <t>Üçüncü taraf PCM1808 modül ilanları bulundu fakat board-level schematic/pad map doğrulanmış değil. Exact SKU seçilirse MCLK/SCKI, BCK, LRCK, DOUT, MD0/MD1/FMT, 5 V analog, 3,3 V digital, input coupling/full-scale ve connector/padout kontrolü yapılır. Bu madde danışman ADC kararı ile birlikte kapatılır. Satın alma kapısı yalnız PCM1808 breakout içindir; MCU, ECM, EB-R, op-amp gibi bağımsız W4 alımlarını bloke etmez.</t>
  </si>
  <si>
    <t>AÇIK — MODÜL ŞEMASI GEREKLİ</t>
  </si>
  <si>
    <t>Ozan (B) + danışman</t>
  </si>
  <si>
    <t>3. hafta interface review / W4 order gate</t>
  </si>
  <si>
    <t>Onay ve şema kontrolü olmadan satın alma yok; PCM1808 yalnız birinci aday.</t>
  </si>
  <si>
    <t>TI datasheet: https://www.ti.com/lit/ds/symlink/pcm1808.pdf | Listing, not validated design: https://www.elecbee.com/tr/product-detail/1808-pcm1808-single-ended-input-99db-snr-stereo-adc-module-analog-input-decoder-24bit-amplifier-board_25169</t>
  </si>
  <si>
    <t>R02-018</t>
  </si>
  <si>
    <t>ESP32-S3 dahili ADC sınırları</t>
  </si>
  <si>
    <t>Dahili SAR ADC mevcuttur; ADC continuous/DMA yolu teknik olarak kullanılabilir, ancak PCG için audio-grade uygunluğu bilinmemektedir. Güncel ESP-IDF ESP32-S3 ADC continuous kılavuzu ADC2 DMA için donanım kısıtı belirtir. İlk analog bench değerlendirmesi ADC1 üzerinden yürütülür; sample-rate, gürültü, lineerlik ve clipping ölçülür.</t>
  </si>
  <si>
    <t>DOĞRULAMA PLANI TANIMLI — TEST BEKLİYOR</t>
  </si>
  <si>
    <t>W3/W4 interface review; SNR formal testi öncesi</t>
  </si>
  <si>
    <t>ADC1 yalnız deneysel yoldur; sonuç yetersizse danışman onaylı harici audio ADC veya danışmanın yönlendirdiği alternatif mimari kararı uygulanır. Bölüm C-05 mevcut değildir.</t>
  </si>
  <si>
    <t>Espressif ADC continuous mode: https://docs.espressif.com/projects/esp-idf/en/latest/esp32s3/api-reference/peripherals/adc/adc_continuous.html</t>
  </si>
  <si>
    <t>R02-019</t>
  </si>
  <si>
    <t>Lab equipment audit</t>
  </si>
  <si>
    <t>Ozan bildirimi (12.10.2026): osiloskop/DSO, fonksiyon üreteci, multimetre, lehim istasyonu ve tekrar kullanılabilir breadboard/dev-board bölümde mevcut. USB audio interface bölümde yok. Bu kapanış yalnız mevcudiyet bildirimidir; cihaz kalibrasyonu/bant genişliği/noise floor doğrulanmış değildir.</t>
  </si>
  <si>
    <t>CLOSED — MEVCUDİYET DURUMU</t>
  </si>
  <si>
    <t>12.10.2026; Week-4 öncesi</t>
  </si>
  <si>
    <t>Dört temel laboratuvar aracı ve breadboard için satın alma yok; USB audio interface satın alma zorunluluğu yok.</t>
  </si>
  <si>
    <t>Ozan lab audit bildirimi; öğretim elemanı component/lab listesi</t>
  </si>
  <si>
    <t>R02-020</t>
  </si>
  <si>
    <t>Kişisel 3,5 mm→USB adaptörü uygunluğu</t>
  </si>
  <si>
    <t>Ozan küçük bir adaptörü olduğunu bildiriyor; model ve sinyal yönü henüz bilinmiyor. Playback-only USB DAC ECM capture yapamaz. Bazı ucuz codec/dongle'larda AC-kuplaj, voice-band high-pass, mic bias veya AGC/gain shaping 20–500 Hz PCG'yi bozabilir; bu genel varsayım değil, test edilecek risklerdir. Analog audio INPUT/capture desteği, input range/coupling, microphone bias, gain/AGC, örnekleme/kanal biçimi ve bilinen sinyalle 20–500 Hz frekans yanıtı kontrol edilirse yalnız keşif amaçlı kullanılabilir. Kalibre referans veya C-05 eşdeğeri kabul edilmez.</t>
  </si>
  <si>
    <t>OPEN — MODEL/FONKSİYON TEYİDİ</t>
  </si>
  <si>
    <t>ECM ADC yolu kararından önce model/analog capture ve 20–500 Hz frekans yanıtı kontrolü; gerekirse W4 bench</t>
  </si>
  <si>
    <t>Satın alma zorunluluğu yok. Dongle uygun çıkmazsa ADC1 bench/PCM1808 advisor decision ayrı kalır.</t>
  </si>
  <si>
    <t>Kişisel adaptörün üstündeki model ve datasheet/işaretleme kontrolü</t>
  </si>
  <si>
    <t>R02-021</t>
  </si>
  <si>
    <t>PAM8403 modülü — ürün yaşam döngüsü ve 12 Ω eksiter uyumu</t>
  </si>
  <si>
    <t>Revizyon</t>
  </si>
  <si>
    <t>Tarih</t>
  </si>
  <si>
    <t>Önemli değişiklik</t>
  </si>
  <si>
    <t>00</t>
  </si>
  <si>
    <t>28.09.2026</t>
  </si>
  <si>
    <t>İlk taslak</t>
  </si>
  <si>
    <t>Öğretim elemanı gereksinimleri ve ilk satın alma/test listesi birleştirildi.</t>
  </si>
  <si>
    <t>Sipariş öncesi aday doğrulama gerekli.</t>
  </si>
  <si>
    <t>01</t>
  </si>
  <si>
    <t>30.09.2026</t>
  </si>
  <si>
    <t>İnceleme taslağı</t>
  </si>
  <si>
    <t>Türkiye tedarik araştırması, elektronik ön BOM, test matrisi ve alternatifler eklendi.</t>
  </si>
  <si>
    <t>Fiyat/stok, MPN ve test ID'leri canlı sipariş öncesi teyit edilmeli.</t>
  </si>
  <si>
    <t>02</t>
  </si>
  <si>
    <t>13.10.2026</t>
  </si>
  <si>
    <t>Teknik kaynak incelemesi sonrası güncellenmiş açık-karar revizyonu</t>
  </si>
  <si>
    <t>REV02 closeout QA (13.10.2026): ADC1 bench / ADC2 DMA kısıtı; PCM1808 sipariş bekleme koşulu yalnız A-23 modülüne indirildi; EB-R miktarı 3 (2 bench +1 reserve), Farnell 14 stok/22 hafta geçmiş snapshot'ı 12.10.2026 ve ilk sipariş önceliği; A-08 PAM8403 miktarı 2, product code 16177, NRND/EOL riski; DevKit USB 5 V input ve koşullu DevKit 3V3 → yerel seri-R + C/dekuplaj MEMS kolu (RC regülatör değildir; PUI 1,8 V standard/3,6 V max ve gerçek pad/rail teyidi); T-AUD-06 ADC-only noise floor; sipariş hazırlık denetimi ve kalan geometri/link blokajları.</t>
  </si>
  <si>
    <t>Bu dosya sipariş hazırlık kararını satır bazında ayırır. A-03 EB-R uzun teslimat nedeniyle ilk partiye önceliklidir ancak kablolama pad/rail teyidine bağlıdır. A-08 PAM8403 yalnız kısa vadeli bench prototip adayıdır, kalıcı tasarım değil. PCM1808 dışında kalan Grup A kalemleri kendi MPN/link/geometri/stock kontrolü tamamlandığında bağımsız ilerleyebilir. Bekleyen geometri/ürün seçim kalemleri otomatik siparişe hazır değildir.</t>
  </si>
  <si>
    <t>Sipariş durumu</t>
  </si>
  <si>
    <t>Siparişten önce / kullanım için kapanması gereken madde</t>
  </si>
  <si>
    <t>Kontrol sonucu ve teknik not</t>
  </si>
  <si>
    <t>Ürün / kaynak bağlantısı</t>
  </si>
  <si>
    <t>Kur tarihi</t>
  </si>
  <si>
    <t>EUR/TRY satış</t>
  </si>
  <si>
    <t>KDV varsayımı</t>
  </si>
  <si>
    <t>Kur kaynağı</t>
  </si>
  <si>
    <t>https://doviz.kimibilin.com/ex/?d=13.10.2026</t>
  </si>
  <si>
    <t>Ürün</t>
  </si>
  <si>
    <t>MPN</t>
  </si>
  <si>
    <t>Liste fiyatı (EUR, KDV hariç)</t>
  </si>
  <si>
    <t>Kur (TRY/EUR)</t>
  </si>
  <si>
    <t>Tahmini TL/adet (KDV varsayımı dahil)</t>
  </si>
  <si>
    <t>Satın_Alma TL snapshot/adet</t>
  </si>
  <si>
    <t>Fark: tahmin − snapshot (TL)</t>
  </si>
  <si>
    <t>Kaynak ve uyarı</t>
  </si>
  <si>
    <t>PUI I²S MEMS değerlendirme kartı</t>
  </si>
  <si>
    <t>DMM-4026-B-I2S-EB-R</t>
  </si>
  <si>
    <t>Farnell Türkiye public listing 1+ €2.460 net; listed 22-week standard manufacturer lead time. Stock, regional delivery and actual checkout must be rechecked. https://tr.farnell.com/pui-audio/dmm-4026-b-i2s-eb-r/eval-board-26db-1-8vdc-mems-microphone/dp/4903832</t>
  </si>
  <si>
    <t>Kingstate ECM</t>
  </si>
  <si>
    <t>Farnell Türkiye public listing 1+ €1.050 net and 1,124 stock displayed; listed 22-week standard manufacturer lead time. This page data is not a delivery promise; checkout must be rechecked. https://tr.farnell.com/kingstate/kecg2740pbj/microphone-miniature-electret/dp/1299885</t>
  </si>
  <si>
    <t>DİJİTAL STETOSKOP — SATIN ALMA VE TEST ÇALIŞMA KİTABI | REV03</t>
  </si>
  <si>
    <t>REV03 gerçek sipariş özeti (17.10.2026): Motorobit 728,77 TL (geçici; ek 2×7×9 cm plaket için onay e-postası/fatura bekleniyor); Direnç.net 2.343,88 TL; Farnell/SAMM #FS1228810 381,56 TL; Amazon.com.tr 159,00 TL. Genel çalışma toplamı 3.613,21 TL (geçici). Farnell sipariş tarihi 16.10.2026, ödeme Ödendi (Credit Card); teslim tarihi henüz doğrulanmadı. PUI EB-R alınmadı; 3 × INMP441 ve 2 × ESP32-S3 N16R8 alındı. Pasif R/C grubu yaklaşık 140,56 TL'dir ve Direnç.net toplamına dahildir. Motorobit A-07/A-08 satır gösterimi KDV bazlarıyla eşleşir; fiziksel test başarısı varsayılmaz.</t>
  </si>
  <si>
    <t>REV03 satın alma durumu: ECM ailesi Kingstate KECG2740PBJ (Farnell/SAMM üzerinden 2 adet sipariş edildi; eski 4 adetlik planın 2 adedi açık). MEMS için PUI EB-R alınamadı; bunun yerine 3 adet INMP441 I²S breakout sipariş edildi. INMP441 60 Hz alt kesim/roll-off bilgisi sert bir brick-wall değildir; buna rağmen 20–60 Hz sistem cevabı veri sayfasından garanti edilemez. Kavite ve montaj etkisi ölçülmeli, telafi varsayılmamalıdır.</t>
  </si>
  <si>
    <t>Test_Matrisi (REV03) kanonik test listesi; DOCX DSS-SYS-001 Rev03 ve Ek C ile eşleştirilmelidir.</t>
  </si>
  <si>
    <t>PWR-01…06 ve T-PWR-01…06 eşleştirmeleri korunur; Rev03’te N16R8/INMP441 fiziksel arayüz denetimi ve satın alma sonrası test kapıları ayrıca izlenir.</t>
  </si>
  <si>
    <t>Güvenli besleme/arayüz kuralı (REV03): USB 5 V yalnız satın alınan ESP32-S3 N16R8 kartının doğrulanmış kart güç girişine uygulanır; INMP441 VDD pinine veya MCP6022 AFE rayına doğrudan 5 V bağlanmaz. INMP441 breakout üzerindeki gerçek VDD/GND/L-R/WS/SCK/SD pinleri ve modülün izin verdiği besleme, üretici datasheet'i ve teslim edilen modül işaretleriyle doğrulanmadan bağlantı yapılmaz. 3,3 V yalnız modül VDD sınırlarıyla uyumlu olduğu doğrulanınca kullanılabilir. N16R8 kartı, önceki DevKitC-1-N8R8 ile aynı geliştirme kartı varsayılmaz; gerçek USB/USB-UART topolojisi, port uçları, pin etiketleri ve kart revizyonu fiziksel inceleme bekler. RC ağı regülatör değildir. ECM ADC1 yolu yalnız bench test adayıdır; audio-grade performansı varsayılmaz. PCM1808 modülü için danışman onayı ve gerçek modül şeması kontrolü hâlâ gereklidir.</t>
  </si>
  <si>
    <t>SATIN ALMA PLANI — GRUP A / B / C | REV03</t>
  </si>
  <si>
    <t>REV03: Gerçek siparişler Gerçek_Sipariş_Rev03 ve Sipariş_Kayıt sayfalarında ayrı izlenir. Satın_Alma plan/aday ve kalan açık karar sayfasıdır; toplam aday fiyatı kaldırılmıştır. A-02 gerçek sipariş adedi 2'dir (eski 4 planından 2 açık). A-12 mikrofon kablosu ve A-20 Amazon AUX kablosu ayrı kaydedilir.</t>
  </si>
  <si>
    <t>Birim Fiyat (TRY; KDV esası notta)</t>
  </si>
  <si>
    <t>Satır Toplamı (TRY; KDV esası notta)</t>
  </si>
  <si>
    <t>KINGSTATE KECG2740PBJ — 2 adet sipariş edildi; 4 adetlik eski hedeften 2 yedek adet açık</t>
  </si>
  <si>
    <t>Farnell / SAMM Teknoloji</t>
  </si>
  <si>
    <t>SİPARİŞ VERİLDİ: 2 adet. Ürün ara toplamı 168,9674 TL KDV hariç; genel tedarikçi toplamı 381,56 TL KDV+kargo dahil. #FS1228810; 16.10.2026; Ödendi (Credit Card); teslim doğrulanmadı.</t>
  </si>
  <si>
    <t>Farnell/SAMM sipariş ekranı: 16.10.2026 sipariş tarihi; ödeme Ödendi (Credit Card); sipariş #FS1228810. Teslim/teslim tarihi ayrıca doğrulanmadı.</t>
  </si>
  <si>
    <t>GERÇEK SİPARİŞ: 2 ADET — İLAVE 2 YEDEK AÇIK</t>
  </si>
  <si>
    <t>Gerçek sipariş: 2 × Kingstate KECG2740PBJ, #FS1228810 (16.10.2026; Ödendi — Credit Card). Genel toplam 381,56 TL KDV ve 149,0012 TL kargo dahil; ürün ara toplamı 168,9674 TL KDV hariçtir. Rev02'de önerilen 4 adetlik miktarın yalnız 2'si alındı. Fantom altında SNR/frekans cevabı ve tekrarlanabilirlik testi henüz yapılmadı.</t>
  </si>
  <si>
    <t>Dijital MEMS mikrofon modülü / I²S breakout</t>
  </si>
  <si>
    <t>SZYTF INMP441 MEMS I²S mikrofon modülü; gerçek breakout kartı ve üstündeki IC işareti teslimde kontrol edilecek</t>
  </si>
  <si>
    <t>Direnç.net</t>
  </si>
  <si>
    <t>https://www.direnc.net/inmp441-mems-i2s-cok-yonlu-mikrofon-modulu</t>
  </si>
  <si>
    <t>SİPARİŞ EDİLDİ: 3 adet INMP441; PUI EB-R SATIN ALINMADI. Üretici verisi alt kesimi 60 Hz, SNR 61 dBA tipik verir; 20–60 Hz hedefi risklidir.</t>
  </si>
  <si>
    <t>Direnç.net sipariş; tarih/teslim bilgisi bildirilmedi</t>
  </si>
  <si>
    <t>Rev03 parça değişikliği: PUI DMM-4026-B-I2S-EB-R tedarik edilemedi/alınmadı. Bunun yerine 3 adet INMP441 I²S breakout modülü sipariş edildi. Üretici veri sayfası 24-bit I²S, tipik 61 dBA SNR ve 60 Hz alt kesim frekansı listeler; bu nedenle 20–60 Hz karakterizasyon gereksinimi bu adayla doğrudan garanti edilmez. 48 kHz mono edinim denenebilir ancak frekans cevabı ölçülmeden sensör uygunluğu onaylanamaz. Satıcı: https://www.direnc.net/inmp441-mems-i2s-cok-yonlu-mikrofon-modulu ; datasheet: https://invensense.tdk.com/wp-content/uploads/2015/02/INMP441.pdf</t>
  </si>
  <si>
    <t>SİPARİŞ EDİLDİ: 5 adet MCP6022-I/P DIP-8 Direnç.net siparişine dahil; satır KDV ayrıntıları genel toplamdan ayrı uzlaştırılmadı.</t>
  </si>
  <si>
    <t>MCP6022-I/P DIP-8, 5 adet sipariş edildi. Nihai AFE bias/gain/filter topolojisi halen tasarlanıp test edilmelidir; ölçüm sonucu iddia edilmez. Gerçek tedarikçi harcaması yalnız Gerçek_Sipariş_Rev03 özetinde sayılır.</t>
  </si>
  <si>
    <t>Karışık direnç/kondansatör grubu — Direnç.net sipariş satırları; tek tek link gerekmiyor</t>
  </si>
  <si>
    <t>SİPARİŞ EDİLDİ — pasif değerler ve sayılar Gerçek_Sipariş_Rev03 sayfasında özetlendi; tutar yaklaşık satır toplamıdır.</t>
  </si>
  <si>
    <t>Direnç.net; satır KDV gösterimi tam uzlaşmıyor</t>
  </si>
  <si>
    <t>Gerekli değerler belirlendikten sonra tekil düşük toleranslı R/C alımı</t>
  </si>
  <si>
    <t>SİPARİŞ EDİLDİ — kesin satır faturası ayrı atanmadı</t>
  </si>
  <si>
    <t>Direnç/kondansatör satır toplamlarından metin üzerinden çıkarılan yaklaşık grup tutarı 140,56 TL'dir; bazı satırların KDV gösterimi ve sonradan eklenen kondansatör satırı tam uzlaşmadığından bu rakam bağımsız kesin fatura alt toplamı değildir. Gerçek Direnç.net siparişinin tamamı 2.343,88 TL (KDV dahil, 2,01 TL indirim ve ücretsiz kargo dahil) yalnız Gerçek_Sipariş_Rev03'te sayılır; pasif grup genel harcama toplamına ayrıca eklenmez.</t>
  </si>
  <si>
    <t>DirencNet ESP32-S3 N16R8 WiFi Bluetooth Board (DSTK22852; seller model ESP32-S3-WROOM-1-N16R8)</t>
  </si>
  <si>
    <t>https://www.direnc.net/esp32-s3-n16r8-wifi-bluetooth-board</t>
  </si>
  <si>
    <t>SİPARİŞ EDİLDİ: 2 adet; N8R8/DevKitC-1 değil, N16R8 board alındı. Kart üzerindeki gerçek USB/port/board revizyonu teslimde doğrulanacak.</t>
  </si>
  <si>
    <t>Direnç.net; tarih/teslim bilgisi bildirilmedi</t>
  </si>
  <si>
    <t>Önceki aday: ESP32-S3-DevKitC-1-N8R8; artık satın alınan ürün değil.</t>
  </si>
  <si>
    <t>SİPARİŞ EDİLDİ — exact board inspection pending</t>
  </si>
  <si>
    <t>Rev03 donanım tabanı: 2 × DirencNet ESP32-S3 N16R8 WiFi Bluetooth Board, satıcı kodu DSTK22852, listelenen birim 508,53 TL + KDV. Bu, önceki Espressif ESP32-S3-DevKitC-1-N8R8 değildir. Eski DevKitC-1 tablosundaki USB portu/Native USB ve USB-UART/log topolojisini veya GPIO eşlemesini varsayma; kablolama ve firmware dondurmasından önce gelen kartı, USB bridge/type-C portlarını, pin etiketlerini, kart revizyonunu ve mümkünse şemasını fiziksel incele. Ürün: https://www.direnc.net/esp32-s3-n16r8-wifi-bluetooth-board</t>
  </si>
  <si>
    <t>SİPARİŞ EDİLDİ: 2 adet. Birim 106,05 TL KDV dahil; satır alt toplamı 176,75 TL KDV hariçtir (176,75×1,20=212,10 TL; 2×106,05=212,10 TL).</t>
  </si>
  <si>
    <t>Motorobit; tarih/teslim bilgisi bildirilmedi</t>
  </si>
  <si>
    <t>SİPARİŞ EDİLDİ — 2 ADET; 20–500 Hz TESTİ BEKLİYOR</t>
  </si>
  <si>
    <t>2 adet Motorobit 30 mm / 12 Ω titreşim hoparlörü sipariş edildi. Satır tutarı KDV hariç; KDV dahil ürün toplamı 212,10 TL. 20–500 Hz performansı test bekliyor.</t>
  </si>
  <si>
    <t>Motorobit 3W 2 Kanal Mini Amfi Devresi — PAM8403</t>
  </si>
  <si>
    <t>https://www.motorobit.com/3w-2-kanal-mini-amfi-devresi-pam8403</t>
  </si>
  <si>
    <t>SİPARİŞ EDİLDİ: 4 adet. Birim 21,21 TL KDV dahil; satır alt toplamı 70,70 TL KDV hariçtir (70,70×1,20=84,84 TL; 4×21,21=84,84 TL).</t>
  </si>
  <si>
    <t>SİPARİŞ EDİLDİ — 4 ADET; ÖNCE 1 MODÜL TEST EDİLECEK</t>
  </si>
  <si>
    <t>4 adet PAM8403 sipariş edildi. Satır tutarı KDV hariç; KDV dahil ürün toplamı 84,84 TL. Önce bir modülü test et; BTL çıkışlarını GND'ye bağlama.</t>
  </si>
  <si>
    <t>2 × 830-point breadboard + 140-piece boxed jumper set + 40×M-M jumper wires + headers</t>
  </si>
  <si>
    <t>Direnç.net + Motorobit</t>
  </si>
  <si>
    <t>SİPARİŞ EDİLDİ — 2 breadboard, jumper kit, 40-piece male-male jumper set and headers.</t>
  </si>
  <si>
    <t>Motorobit + Direnç.net; actual cost only in supplier summary</t>
  </si>
  <si>
    <t>Actual order contents: 2 single 830-point breadboards (Direnç.net), 1 boxed 140-piece jumper set (Motorobit), 1 set of 40 male-male 20 cm jumpers (Direnç.net), plus connector/header parts. Line details are recorded in Gerçek_Sipariş_Rev03; do not double count these amounts outside supplier totals.</t>
  </si>
  <si>
    <t>Mikrofon / ECM kablosu</t>
  </si>
  <si>
    <t>Direnç.net 1 m stereo mikrofon kablosu</t>
  </si>
  <si>
    <t>https://www.direnc.net/stereo-mikrofon-kablosu</t>
  </si>
  <si>
    <t>SİPARİŞ EDİLDİ — 1 m stereo mikrofon kablosu; sipariş anındaki kesin SKU/URL e-posta ile doğrulanmadı.</t>
  </si>
  <si>
    <t>Direnç.net; sipariş/teslim tarihi ayrıca bildirilmedi.</t>
  </si>
  <si>
    <t>SİPARİŞ EDİLDİ — KABLO UÇLARI VE EKRAN TESLİMDE KONTROL EDİLECEK</t>
  </si>
  <si>
    <t>A-12 yalnız Direnç.net 1 m stereo mikrofon kablosudur; Amazon Juo AUX kablosu ayrı kalem A-20'dir. Ürün adına uyan özel sayfa (DSTK2244): https://www.direnc.net/stereo-mikrofon-kablosu ; bu sayfa 53,27 TL + KDV / 63,93 TL KDV dahil gösteriyor. Direnç.net'in 'Adjacent &amp; Shielded Cable' kategori görünümünde aynı isimli 1 m Stereo Mikrofon Kablosu 75,55 TL KDV dahil olarak da listeleniyor: https://www.direnc.net/adjacent-shielded-cable . Bu iki güncel web görünümü birbiriyle farklı; kullanıcının sipariş özetindeki 75,55 TL, sipariş tutarı olarak korunmuştur. Sipariş anındaki tam SKU/fiyatı yalnızca sipariş e-postası/faturası kesinleştirir. Ekran/iletken uçlarını teslimde kontrol et.</t>
  </si>
  <si>
    <t>Motorobit; actual cost only in supplier summary</t>
  </si>
  <si>
    <t>SİPARİŞ EDİLDİ — ek 7×9 fiyat teyidi bekliyor</t>
  </si>
  <si>
    <t>Üç plaket sipariş edildi: 1×12×12 cm temel plaket ve 2×7×9 cm ek plaket. Gerçek tutarlar ayrı Sipariş_Kayıt satırlarında: 12×12 cm = 35,35 TL; iki 7×9 cm = geçici 90,00 TL. Ek plaket fiyatı Motorobit sipariş teyidi/faturasıyla doğrulanacak. Breadboard devresi doğrulanmadan lehimli aktarım yapılmaz.</t>
  </si>
  <si>
    <t>PC/telefon → PAM8403 giriş AUX kablosu</t>
  </si>
  <si>
    <t>Juo Stereo 3.5 mm TRS Jack Örgülü AUX Ses Kablosu, 1 m</t>
  </si>
  <si>
    <t>Amazon.com.tr</t>
  </si>
  <si>
    <t>https://www.juo.com.tr/juo-stereo-3-5mm-trs-jack-orgulu-aux-ses-kablosu-1-metre/</t>
  </si>
  <si>
    <t>SİPARİŞ EDİLDİ — 1 adet; KDV dahil</t>
  </si>
  <si>
    <t>Kullanıcı bildirimi: 159,00 TL, kargo 0,00 TL; sipariş tarihi/teslim fişi paylaşılmadı.</t>
  </si>
  <si>
    <t>SİPARİŞ EDİLDİ — AUX TEST KABLOSU</t>
  </si>
  <si>
    <t>A-20 Amazon AUX kablosudur; A-12 mikrofon kablosundan farklıdır. Ürün linki Juo'nun bu model ürün sayfasıdır; harcama Amazon toplamında sayılır.</t>
  </si>
  <si>
    <t>PLAN / ADAY FİYAT TOPLAMI KALDIRILDI — KDV BASISI VE AÇIK KALEMLER NEDENİYLE TOPLANMIYOR</t>
  </si>
  <si>
    <t>Gerçek harcama özeti Gerçek_Sipariş_Rev03!D8 üzerinden alınır. Satın_Alma satır toplamları adaylar, sipariş edilen kalemler ve farklı KDV gösterimlerini içerebildiğinden genel harcama olarak toplanmaz.</t>
  </si>
  <si>
    <t>Satın alma kuralı: kalemler yalnız aynı işlevde göründükleri için eşdeğer kabul edilmez. N16R8 board'un kesin USB/pinout düzeni ve INMP441 breakout pinleri teslimde kontrol edilir. INMP441 alt kesimi 60 Hz olduğundan 20–60 Hz ölçüm riski açıktır. Fiziksel testler yapılmış gibi işaretlenmez.</t>
  </si>
  <si>
    <t>ELEKTRONİK / EDİNİM ARAYÜZÜ MİMARİ ÖN BOM | REV03</t>
  </si>
  <si>
    <t>Rev03 satın alınan donanım esaslı güncelleme: Direnç.net ESP32-S3 N16R8 board ve 3 × INMP441 I²S breakout satın alındığı bildirildi. PUI EB-R alınmadı. INMP441'nin üretici alt kesim frekansı 60 Hz olduğundan 20–60 Hz bandı risklidir ve bench ölçümü gereklidir. Bu sayfa halen ön BOM'dur; gerçek board pinout/USB arayüzü teslimatta doğrulanmadan kesin kart/firmware pin ataması dondurulmaz.</t>
  </si>
  <si>
    <t>DirençNet</t>
  </si>
  <si>
    <t>ESP32-S3 N16R8 WiFi Bluetooth Board (DSTK22852; seller lists ESP32-S3-WROOM-1-N16R8)</t>
  </si>
  <si>
    <t>Geliştirme kartı</t>
  </si>
  <si>
    <t>SATIN ALINDI — kart arayüzü/USB/pinout denetimi bekliyor</t>
  </si>
  <si>
    <t>2 kart sipariş edildi. Bu ürün planlanan DevKitC-1-N8R8 ile aynı geliştirme kartı değildir. Kart revizyonu, native USB/USB-UART topolojisi, USB köprüsü, portlar ve GPIO pin etiketleri fiziksel inceleme ile doğrulanmadan firmware/pin ataması dondurulmaz. Satıcı: https://www.direnc.net/esp32-s3-n16r8-wifi-bluetooth-board</t>
  </si>
  <si>
    <t>Analog elektret kondenser</t>
  </si>
  <si>
    <t>SİPARİŞ EDİLDİ — 2 adet; son seçim ölçüme bağlı</t>
  </si>
  <si>
    <t>2 × Kingstate KECG2740PBJ ECM siparişi Farnell/SAMM üzerinden bildirildi. 4 adetlik eski planın 2 adedi alınmıştır; yedek miktar eksik. Ürün satırı harcama toplamı ile kargo/KDV dahil sipariş toplamı ayrı kaydedilir; nihai sensör kararı aynı fantom ölçümlerinden sonra verilir.</t>
  </si>
  <si>
    <t>InvenSense / TDK (module seller SZYTF)</t>
  </si>
  <si>
    <t>INMP441 I²S module, 3 units ordered</t>
  </si>
  <si>
    <t>Digital MEMS microphone breakout; 24-bit I²S</t>
  </si>
  <si>
    <t>SATIN ALINDI — 3 adet; 1 lehimli prototip hedefi, montaj/test henüz yapılmadı</t>
  </si>
  <si>
    <t>3 × INMP441 breakout sipariş edildi. Geliştirme adedi 3; lehimli prototip hedefi 1 (bu, montajın yapıldığı anlamına gelmez). Üretici belgeleri 24-bit I²S, tipik 61 dBA SNR ve 60 Hz alt kesim/roll-off belirtir. 20–60 Hz sistem genlik cevabı veri sayfasıyla garanti edilmez. Aynı fantom koşullarında cevap ölçülmeden nihai sensör seçimi yapılmaz. PUI DMM-4026-B-I2S-EB-R alınmadı. Datasheet: https://invensense.tdk.com/wp-content/uploads/2015/02/INMP441.pdf</t>
  </si>
  <si>
    <t>MCP6022-I/P</t>
  </si>
  <si>
    <t>DIP-8 dual op-amp for ECM breadboard AFE</t>
  </si>
  <si>
    <t>SATIN ALINDI — AFE tasarımı/testi bekliyor</t>
  </si>
  <si>
    <t>5 × MCP6022-I/P DIP-8 were included in the Direnç.net order. These parts are for an analog ECM AFE candidate; amplifier topology, DC bias, gain, filter cutoff and ADC1 interface require schematic calculation and bench validation.</t>
  </si>
  <si>
    <t>https://www.microchip.com/en-us/product/mcp6022</t>
  </si>
  <si>
    <t>SİPARİŞ EDİLDİ — pasif R/C grubu; yaklaşık 140,56 TL, toplam Direnç.net siparişine dahildir</t>
  </si>
  <si>
    <t>Direnç.net siparişinde THT dirençler ve kondansatörler tek grup toplamı olarak yaklaşık 140,56 TL ile kaydedilir. KIT1 durumu satın alındı; tek tek alt kalemler kullanıcı talebiyle ayrı ayrı listelenmez. 0603 SMD footprint/kalemleri bu R/C grubunun perfboard stoğu sayılmaz; yalnız koşullu özel PCB için tarihsel/koşullu tasarım değerleridir.</t>
  </si>
  <si>
    <t>REV03 besleme kuralı: USB 5 V yalnız satın alınan N16R8 board'un doğrulanmış kart güç girişine; INMP441 VDD'ye doğrudan 5 V bağlanmaz. Gerçek breakout VDD/GND ve on-board regulator bilgisi ürün/datasheet ve kart işaretleriyle kontrol edilir. 3,3 V ancak INMP441 modülünün gerçek girişinde izinli olduğu doğrulanırsa uygulanır; ray sensör/modül yanında ölçülür. RC yalnız filtre/dekuplajdır, regülatör değildir. AFE rayı op-amp devresinin hesaplanan ihtiyacına göre ayrıca doğrulanır.</t>
  </si>
  <si>
    <t>Önceki PUI MEMS taşıyıcı önerisi — REV03'te kullanılmıyor</t>
  </si>
  <si>
    <t>PUI EB-R planlanmıştı fakat satın alınamadı; INMP441 breakout alındı. Ayrı PUI taşıyıcı/adapter satın alınmadı.</t>
  </si>
  <si>
    <t>REV03 — ESKİ ADAY / SATIN ALINMADI</t>
  </si>
  <si>
    <t>Rev02 tarihsel notu: PUI EB-R değerlendirme kartı için hazırlanmıştı. PUI kartı alınmadı; bu kablo/pad haritası güncel INMP441 modülüne uygulanamaz. INMP441 breakout pin etiketi, VDD/GND ve I²S pinleri kendi datasheet'i ve gerçek kart işaretleriyle doğrulanmalı.</t>
  </si>
  <si>
    <t>Önceki aday datasheet (güncel satın alma ürünü değil): https://puiaudio.com/file/specs-DMM-4026-B-I2S-EB-R.pdf</t>
  </si>
  <si>
    <t>Power architecture kilitlenmedi. Rev03 düzeltmesi: Bu satır SMD/footprint adayıdır; alınan pasif R/C grubu THT bileşenlerden oluşur. Perfboard lehimli prototip ve geliştirme adedi 0; yalnız özel PCB ayrıca onaylanırsa H sütunundaki koşullu footprint miktarı değerlendirilir.</t>
  </si>
  <si>
    <t>Yalnız özel bir USB-C taşıyıcı kart tasarlanıp onaylanırsa gerekli olabilir. Satın alınan N16R8 board'un gerçek konektör/USB bağlantısı teslimde incelenmeden DevKitC-1 referansına göre footprint veya kablo varsayılmaz. Rev03 düzeltmesi: Bu satır SMD/footprint adayıdır; alınan pasif R/C grubu THT bileşenlerden oluşur. Perfboard lehimli prototip ve geliştirme adedi 0; yalnız özel PCB ayrıca onaylanırsa H sütunundaki koşullu footprint miktarı değerlendirilir.</t>
  </si>
  <si>
    <t>Custom PCB olursa SI ölçümü/üretici önerisiyle. Rev03 düzeltmesi: Bu satır SMD/footprint adayıdır; alınan pasif R/C grubu THT bileşenlerden oluşur. Perfboard lehimli prototip ve geliştirme adedi 0; yalnız özel PCB ayrıca onaylanırsa H sütunundaki koşullu footprint miktarı değerlendirilir.</t>
  </si>
  <si>
    <t>Gerekirse ölçümle doldurulur; board tasarımı henüz dondurma değil. Rev03 düzeltmesi: Bu satır SMD/footprint adayıdır; alınan pasif R/C grubu THT bileşenlerden oluşur. Perfboard lehimli prototip ve geliştirme adedi 0; yalnız özel PCB ayrıca onaylanırsa H sütunundaki koşullu footprint miktarı değerlendirilir.</t>
  </si>
  <si>
    <t>INMP441 / N16R8 — pinout kontrolü sonrası</t>
  </si>
  <si>
    <t>REV03: INMP441 breakout ve N16R8 board gerçek pin/rail düzeni teslimde kontrol edilir. USB 5 V hiçbir koşulda doğrudan INMP441 VDD veya AFE düşük-gerilim rayına verilmez. Modül VDD aralığına uygun besleme doğrulanmadan kablolama yok; RC filtresi/regülatör yerine geçmez. Bu not eski PUI EB-R/DevKitC-1 varsayımlarının satın alınan ürüne taşınmasını önler. Rev03 düzeltmesi: Bu satır SMD/footprint adayıdır; alınan pasif R/C grubu THT bileşenlerden oluşur. Perfboard lehimli prototip ve geliştirme adedi 0; yalnız özel PCB ayrıca onaylanırsa H sütunundaki koşullu footprint miktarı değerlendirilir.</t>
  </si>
  <si>
    <t>KOŞULLU — ölçüm/arayüz doğrulaması</t>
  </si>
  <si>
    <t>REV03: Bu yerel güç/decoupling satırı ancak INMP441 breakout pinleri ve modül VDD limiti doğrulandıktan sonra değerlendirilir. USB 5 V doğrudan mikrofon modülüne verilmez. RC ağı regülatör değildir; gerçek ray ölçülür. 1 µF yerel bulk kondansatörün konumu/değeri modül şemasıyla uyumlu olmalıdır. Rev03 düzeltmesi: Bu satır SMD/footprint adayıdır; alınan pasif R/C grubu THT bileşenlerden oluşur. Perfboard lehimli prototip ve geliştirme adedi 0; yalnız özel PCB ayrıca onaylanırsa H sütunundaki koşullu footprint miktarı değerlendirilir.</t>
  </si>
  <si>
    <t>KOŞULLU — modül dokümanıyla doğrula</t>
  </si>
  <si>
    <t>REV03: 100 nF bypass kapasitörü ancak INMP441 breakout'un doğrulanmış VDD/GND hatlarına ve modül üretici önerisine göre bağlanır. Board-level pinout/onboard rail kontrolü bitmeden güç kolu kurulmaz. Rev03 düzeltmesi: Bu satır SMD/footprint adayıdır; alınan pasif R/C grubu THT bileşenlerden oluşur. Perfboard lehimli prototip ve geliştirme adedi 0; yalnız özel PCB ayrıca onaylanırsa H sütunundaki koşullu footprint miktarı değerlendirilir.</t>
  </si>
  <si>
    <t>DÖNÜŞTÜRÜCÜ KARŞILAŞTIRMA VE SEÇİM KAYDI | REV03</t>
  </si>
  <si>
    <t>Final comparison remains 1 ECM + 1 MEMS under the same phantom conditions. Purchased candidates: Kingstate KECG2740PBJ ECM (2 units) and INMP441 I²S breakout modules (3 units). PUI DMM-4026-B-I2S-EB-R was not acquired. INMP441 documentation lists a 60 Hz lower cutoff/roll-off, not a brick-wall zero-output boundary; however, in-system 20–60 Hz amplitude response is not guaranteed by that statement. Do not assume the closed stethoscope cavity compensates for roll-off; measure end-to-end response under the same phantom conditions. No comparison result has been measured.</t>
  </si>
  <si>
    <t>B</t>
  </si>
  <si>
    <t>MEMS</t>
  </si>
  <si>
    <t>TDK InvenSense / SZYTF</t>
  </si>
  <si>
    <t>INMP441 I²S breakout — 3 adet sipariş edildi</t>
  </si>
  <si>
    <t>I²S</t>
  </si>
  <si>
    <t>Alt kesim 60 Hz (datasheet); 20–60 Hz riski açık</t>
  </si>
  <si>
    <t>https://invensense.tdk.com/wp-content/uploads/2015/02/INMP441.pdf
Satıcı/modül: https://www.direnc.net/inmp441-mems-i2s-cok-yonlu-mikrofon-modulu</t>
  </si>
  <si>
    <t>Rev03 satın alınan MEMS adayı. 24-bit I²S, tipik 61 dBA SNR ve 60 Hz alt kesim yayınlanmıştır; 20–60 Hz uygunluğu garanti edilmez. Breakout pinout/besleme ve N16R8 wiring doğrulanmalı. Önceki PUI EB-R kartı alınmadı; yalnız tarihsel aday olarak kalır. Nihai sensör seçimi ölçümle yapılır.</t>
  </si>
  <si>
    <t>1) Satın alınan Kingstate ECM ve INMP441 adaylarının veri sayfasındaki düşük frekans bilgisini kaydet. 2) Aynı fantom koşullarında 20–500 Hz cevap, SNR ve ≥10 tekrar ölç. 3) INMP441'nin 60 Hz alt kesimini brick-wall gibi yorumlama; 20–60 Hz gerçek sistem genlik cevabını ölç ve kavite telafisini varsayma. 4) Nihai sensör seçimini ölçümle gerekçelendir.</t>
  </si>
  <si>
    <t>DOĞRULAMA TEST MATRİSİ — DERS KAPILARI + MÜHENDİSLİK TESTLERİ | REV03</t>
  </si>
  <si>
    <t>Canonical Rev03 test register. Purchased baseline: ESP32-S3 N16R8 board ×2 and INMP441 I²S breakout ×3; PUI EB-R was not acquired. No physical measurements or successful firmware/stream tests are claimed.</t>
  </si>
  <si>
    <t>Satın alınan SZYTF INMP441 breakout üzerindeki gerçek VDD/GND/LR/WS/SCK/SD pinlerini datasheet ve fiziksel kart işaretleriyle eşleştir. N16R8 board revision/USB ve I²S pinlerini doğrula; I²S clock/slot ayarını ölç.</t>
  </si>
  <si>
    <t>Gerçek board/modül bağlantısı ve logic-analyzer/osiloskop dalga şekli dokümante edilen I²S konfigürasyonuyla uyumlu; örnek akışı PC'ye kaydedilir. 20–60 Hz cevap uygunluğu ayrı akustik testle değerlendirilir.</t>
  </si>
  <si>
    <t>Satın alınan ESP32-S3 N16R8 board + bench supply/USB; gerçek kart güç girişi ve port tipi kart üzerindeki işaretlerden teyit edilecek.</t>
  </si>
  <si>
    <t>Kartı yalnız belgelenmiş güç girişinden besle; USB 5 V'u INMP441 VDD'ye verme. Uygun DATA portu ve N16R8 GPIO/I²S arayüzü kontrol edildikten sonra akım/rail ölçümü ve PC bağlantısını kaydet.</t>
  </si>
  <si>
    <t>USB bench yolu kararlı; kurulum ve ölçülen voltaj/akım kaydedilmiş. Fiziksel test henüz yapılmadı (PWR-01).</t>
  </si>
  <si>
    <t>PLANLI — N16R8 board inspection sonrası</t>
  </si>
  <si>
    <t>Seçilen ve korumalı 1S Li-Po paketi + onaylı güç yolu (yalnız batarya mimarisi onaylanırsa).</t>
  </si>
  <si>
    <t>Yalnız batarya mimarisi onaylanırsa tanımlanmış hücre gerilimi koşullarında çalışma testini yap; rail, akım ve davranışı kaydet.</t>
  </si>
  <si>
    <t>Nominal 3.3 V hattı seçilen bileşen/veri sayfası sınırlarında kalır; sonuç kaydedilir (PWR-02).</t>
  </si>
  <si>
    <t>Osiloskop/spektrum + sabit fantom; satın alınan INMP441 breakout ve N16R8 kartı; ölçüm doğrudan breakout VDD/GND üzerinde</t>
  </si>
  <si>
    <t>W6'ya kadar sabit fantom/gain koşullarında başlangıç rail ripple/noise ve SNR ölç. INMP441 datasheet [R22]: VDD koşulu 1.8–3.3 V; elektriksel karakteristik tablosunda 1.62–3.63 V aralıkları ve 3.63 V mutlak üst sınır yer alır. Direnç.net breakout sayfası VCC'yi 1.8/3.3 V olarak listeler [R24]. Gerçek breakout üzerindeki VDD pinini/rail'i ve onboard düzeni fiziksel olarak doğrulamadan güç verme; nominal 3.3 V'u ancak board incelemesiyle uygun bulursan uygula. USB 5 V hiçbir durumda doğrudan INMP441/AFE rayına bağlanmaz. RC yalnız filtre/dekuplajdır; regülatör değildir. LDO A/B yalnız ölçüm gerekçelendirirse W10.</t>
  </si>
  <si>
    <t>W6 baseline rail noise/SNR ve gerçek VDD kaydedilir; 5 V doğrudan mikrofon/AFE rayında yoktur. LDO iyileşmesi yalnız ölçümlü A/B ile kabul edilir; 3.6 V PUI sınırı INMP441 modülüne uygulanmaz.</t>
  </si>
  <si>
    <t>PWR-05 / SYS-025; INMP441 datasheet [R22]; Direnç.net module listing [R24]</t>
  </si>
  <si>
    <t>Elektriksel arayüz / pinout / gerçek parça varyantı incelemesi</t>
  </si>
  <si>
    <t>Direnç.net ESP32-S3 N16R8 board + satın alınan INMP441 breakout; gerçek USB portları, pin etiketleri ve ilgili ürün dokümanları</t>
  </si>
  <si>
    <t>INMP441 VDD/GND/L/R/SCK/WS/SD pin labels and N16R8 GPIOs/USB interface are board-specific and must be checked on the delivered hardware; no old DevKitC-1/PUI EB-R pin map assumption.</t>
  </si>
  <si>
    <t>Pin map kaynaklı, board variant'a özgü, karşılıklı gözden geçirilmiş ve açık maddeleri işaretli.</t>
  </si>
  <si>
    <t>AÇIK — N16R8 / INMP441 PHYSICAL INTERFACE CHECK</t>
  </si>
  <si>
    <t>SYS-003/004/005; Rev03 current purchased hardware</t>
  </si>
  <si>
    <t>PCB-02</t>
  </si>
  <si>
    <t>2. dönem / yalnız özel PCB onaylanırsa</t>
  </si>
  <si>
    <t>RF anten keep-out ve GND plane yerleşim incelemesi</t>
  </si>
  <si>
    <t>Espressif layout checklist + gerçek board/package</t>
  </si>
  <si>
    <t>Özel PCB kararı ölçümle gerekçelendirilirse anten keep-out ve GND plane continuity/return current path gözden geçirilir.</t>
  </si>
  <si>
    <t>Üretici kılavuzuna göre inceleme kaydı; özel PCB yoksa N/A olarak gerekçelendirilir.</t>
  </si>
  <si>
    <t>SYS-018</t>
  </si>
  <si>
    <t>ALTERNATİFLER VE DEĞİŞİKLİK POLİTİKASI | REV03</t>
  </si>
  <si>
    <t>1 ECM + 1 MEMS ailesi aynı fantomda karşılaştırılır</t>
  </si>
  <si>
    <t>ECM: Kingstate KECG2740PBJ, 2 adet sipariş edildi (4 adet hedefinin 2'si açık). MEMS: 3 adet INMP441 I²S breakout sipariş edildi; PUI DMM-4026-B-I2S-EB-R alınamadı. INMP441 üretici alt kesimi 60 Hz; 20–60 Hz karakterizasyon riski açık.</t>
  </si>
  <si>
    <t>PARÇALAR SİPARİŞ EDİLDİ — FİNAL SEÇİM ÖLÇÜME BAĞLI</t>
  </si>
  <si>
    <t>Satın alınan MEMS modülü: SZYTF INMP441 I²S breakout</t>
  </si>
  <si>
    <t>PUI EB-R sipariş edilemedi/alınmadı; bunun yerine 3 × INMP441 modül satın alındı. Datasheet: 24-bit I²S, tipik 61 dBA SNR, alt kesim 60 Hz; modül pinleri ve beslemesi teslimde kontrol edilmeli, 20–60 Hz cevap riski ölçülmeli.</t>
  </si>
  <si>
    <t>SİPARİŞ EDİLDİ — TEST / PINOUT DOĞRULAMASI AÇIK</t>
  </si>
  <si>
    <t>INMP441 datasheet: https://invensense.tdk.com/wp-content/uploads/2015/02/INMP441.pdf | Direnc.net module listing: https://www.direnc.net/inmp441-mems-i2s-cok-yonlu-mikrofon-modulu</t>
  </si>
  <si>
    <t>Satın alınan MCU kartı: Direnç.net ESP32-S3 N16R8 WiFi Bluetooth Board (DSTK22852)</t>
  </si>
  <si>
    <t>2 adet N16R8 kart sipariş edildi; önceki ESP32-S3-DevKitC-1-N8R8 ile aynı kart varsayılmamalı. Portlar, USB-UART bridge, USB native hattı, GPIO etiketleri ve kart revizyonu fiziksel kontrolle doğrulanmadan pinler / kablo tipleri dondurulmaz.</t>
  </si>
  <si>
    <t>SİPARİŞ EDİLDİ — BOARD INSPECTION OPEN</t>
  </si>
  <si>
    <t>AÇIK — DANIŞMAN YANITI KAYITLI DEĞİL + MODÜL ŞEMASI BEKLİYOR</t>
  </si>
  <si>
    <t>13.10.2026'da danışman ADC sorusu kayda alındı; yanıt/karar bu dosyada kayıtlı değil. W4 satın alma kapısı öncesi takip edilmeli. Yalnız PCM1808 modülü danışman + şema kapısında; diğer bağımsız Grup A kalemleri durmaz.</t>
  </si>
  <si>
    <t>Rev03 besleme kuralı: USB 5 V yalnız satın alınan ESP32-S3 N16R8 kartının doğrulanmış güç girişine uygulanır; INMP441 VDD veya MCP6022 AFE rayına 5 V doğrudan bağlanmaz. INMP441 modülünün gerçek VDD pini, üzerindeki regülatör/level shifting olup olmadığı ve besleme aralığı ürün/board dokümanından ve gerçek modül işaretlerinden doğrulanmadan güç verilmez. RC yalnız filtre/dekuplajdır, regülatör değildir. LDO Grup A zorunluluğu değildir; W6 rail-noise/SNR baseline, gerekirse W10 A/B.</t>
  </si>
  <si>
    <t>Satın alınan kart: ESP32-S3 N16R8 WiFi/Bluetooth board (Direnç.net). Gerçek kartın konektör tipi, native USB ve USB-UART/log routing'i, GPIO etiketleri ve revizyonu fiziksel olarak kontrol edilmeden kablo tipi/pin ataması dondurulmaz. Önce mevcut veri kablolarını say; yalnız uyumlu eksik data kablosu alınır. Amazon'dan sipariş edilen 3,5 mm TRS AUX kablosu analog ses kablosudur, USB data kablosu değildir.</t>
  </si>
  <si>
    <t>https://www.direnc.net/esp32-s3-n16r8-wifi-bluetooth-board | fiziksel konektör/port kontrolü şart</t>
  </si>
  <si>
    <t>GERÇEK SİPARİŞ KAYITLARI | REV03 — TEDARİKÇİ TOPLAMLARI İÇİN YENİ SAYFAYA BAKIN</t>
  </si>
  <si>
    <t>Rev03 sipariş kaydı. Bu tabloda birim/satır tutarlarının KDV esası satır notunda belirtilir. A-07/A-08 için kaynak ekranında birim fiyatlar KDV dahil (106,05 / 21,21 TL), satır ara toplamları KDV hariç (176,75 / 70,70 TL) gösterilmiştir. Bu kayıt formül tutarlılığı için F sütununda KDV hariç birim fiyatı (88,375 / 17,675 TL), G sütununda KDV hariç satır toplamını kullanır; KDV dahil toplamlar sırasıyla 212,10 / 84,84 TL'dir ve Gerçek_Sipariş_Rev03'te ayrı açıklanır. A-03/A-04 G satırları adet × birim fiyat hesabıdır; tedarikçi genel harcama toplamı Direnç.net için 2.343,88 TL olarak kalır. Pasif R/C grubu yaklaşık 140,56 TL'dir ve bu tutar Direnç.net genel toplamına dahildir. Genel harcama Gerçek_Sipariş_Rev03!D8'den alınır. Farnell/SAMM #FS1228810 sipariş tarihi 16.10.2026, Ödendi (Credit Card); teslim tarihi/teslim alma doğrulanmamıştır. Motorobit ek 7×9 cm plaket tutarı ve genel çalışma toplamı onay e-postası/fatura gelene kadar geçicidir.</t>
  </si>
  <si>
    <t>Birim Fiyat (TRY; satır notundaki KDV esası)</t>
  </si>
  <si>
    <t>Satır Toplamı (TRY; satır notundaki KDV esası)</t>
  </si>
  <si>
    <t>Akustik stetoskop göğüs başlığı</t>
  </si>
  <si>
    <t>Henüz satın alınmadı; SKU/ölçü ve fantom bağlantısı açık</t>
  </si>
  <si>
    <t>Kingstate KECG2740PBJ; sipariş #FS1228810. Sipariş tarihi 16.10.2026; ödeme durumu kullanıcı bildirimiyle Ödendi (Credit Card). Ürün ara toplamı 168,9674 TL (KDV hariç); kargo ve KDV dahil tedarikçi genel toplamı 381,56 TL Gerçek_Sipariş_Rev03 sayfasındadır.</t>
  </si>
  <si>
    <t>16.10.2026</t>
  </si>
  <si>
    <t>#FS1228810</t>
  </si>
  <si>
    <t>MEMS mikrofon (dijital)</t>
  </si>
  <si>
    <t>SZYTF INMP441 I²S breakout; PUI DMM-4026-B-I2S-EB-R alınmadı</t>
  </si>
  <si>
    <t>Düşük gürültülü operasyonel yükselteç</t>
  </si>
  <si>
    <t>Microchip MCP6022-I/P DIP-8</t>
  </si>
  <si>
    <t>Pasif komponent grubu (direnç + kondansatör)</t>
  </si>
  <si>
    <t>Pasif R/C grubu — tek grup toplamı yaklaşık 140,56 TL. Bu tutar Direnç.net 2.343,88 TL genel siparişine dahildir; toplam harcamaya ayrıca eklenmez. Tutar, görünen direnç/kondansatör satırları ve yaklaşık 9,00 TL'lik kısmen görünmeyen kondansatör satırından gruplanmıştır.</t>
  </si>
  <si>
    <t>Ürün linkleri tek tek kaydedilmedi; yaklaşık grup tutarı</t>
  </si>
  <si>
    <t>ESP32-S3 N16R8 WiFi Bluetooth Board / DSTK22852; N8R8 DevKitC-1 değil</t>
  </si>
  <si>
    <t>Küçük transdüser / eksitör</t>
  </si>
  <si>
    <t>30 mm 12 Ω titreşim/rezonans hoparlör</t>
  </si>
  <si>
    <t>3W 2 kanal mini amfi — PAM8403</t>
  </si>
  <si>
    <t>Silikon levha / jel ped</t>
  </si>
  <si>
    <t>Henüz satın alınmadı; gerçek çap/sertlik/geometri onayını bekliyor</t>
  </si>
  <si>
    <t>Henüz satın alınmadı; göğüs başlığı ve eksitör ölçülerine göre tasarlanacak</t>
  </si>
  <si>
    <t>Breadboard + jumper + header + soket + trimpot</t>
  </si>
  <si>
    <t>Motorobit + Direnç.net</t>
  </si>
  <si>
    <t>Direnç.net: 2×830 noktalı breadboard; 40 adet erkek-erkek jumper; 3×10K trimpot; 3×11-pin erkek header; 3×DIP-8 soket. Motorobit: 140 parça kutulu jumper seti; 3×100K trimpot; 2×40-pin dişi header.</t>
  </si>
  <si>
    <t>Satır bazında farklı tedarikçiler; tutarlar tedarikçi toplamlarına dahildir.</t>
  </si>
  <si>
    <t>Mikrofon kablosu / ECM test kablosu</t>
  </si>
  <si>
    <t>Stereo mikrofon kablosu, 1 m</t>
  </si>
  <si>
    <t>PC ses çıkışı → PAM8403 AUX test kablosu</t>
  </si>
  <si>
    <t>Juo Stereo 3,5 mm TRS örgülü AUX kablosu, 1 m</t>
  </si>
  <si>
    <t>12×12 cm delikli plaket</t>
  </si>
  <si>
    <t>7×9 cm epoksi çift taraflı delikli plaket; 2 adet</t>
  </si>
  <si>
    <t>https://www.motorobit.com/7x9cm-epoxy-cift-tarafli-delikli-plaket</t>
  </si>
  <si>
    <t>Motorobit sipariş teyidi bekleniyor</t>
  </si>
  <si>
    <t>Sipariş edilmedi; ikinci dönem / güç mimarisi açık</t>
  </si>
  <si>
    <t>Düşük gürültülü gerilim regülatörü</t>
  </si>
  <si>
    <t>Sipariş edilmedi; rail-noise ölçümü ve gerekçe bekleniyor</t>
  </si>
  <si>
    <t>Fotopletismografi (PPG) modülü</t>
  </si>
  <si>
    <t>Opsiyonel; sipariş edilmedi, çekirdek kapsam değil</t>
  </si>
  <si>
    <t>Özel baskı devre kartı</t>
  </si>
  <si>
    <t>Sipariş edilmedi; özel PCB zorunlu değil, prototip ölçümleri sonrası değerlendirilir</t>
  </si>
  <si>
    <t>REV03 — EK SATIN ALMA / BENCH GEREKSİNİMLERİ</t>
  </si>
  <si>
    <t>REV03 notu: Bu sayfadaki 4.648,32 TL rakamı yalnız eski Rev02 aday fiyat snapshot'ıdır; KDV bazları ve satın alınmayan adaylar karıştığı için toplam bütçe veya gerçek harcama olarak kullanılmamalıdır. Gerçek sipariş çalışma toplamı 3.613,21 TL'dir ve Motorobit ek iki 7×9 cm plaket için 90,00 TL güncel liste fiyatı eklendiğinden onay e-postası/fatura ile teyit beklemektedir. Açık/tahmini kalemler gerçek sipariş sayılmaz.</t>
  </si>
  <si>
    <t>Rev03 besleme kuralı: USB 5 V yalnız satın alınan ESP32-S3 N16R8 kartının doğrulanmış güç girişine uygulanır. INMP441 VDD veya MCP6022 AFE rayına doğrudan 5 V bağlanmaz. INMP441 breakout üzerindeki gerçek VDD pini, onboard regülatör ve besleme limiti doğrulanmadan güç verme. RC filtre/dekuplajdır, regülatör değildir. LDO Grup A zorunluluğu değildir; W6 rail-noise/SNR baseline ve ölçüm gerekçelendirirse W10 A/B. https://www.ti.com/product/LP5907</t>
  </si>
  <si>
    <t>Konektör uçları gerçek ESP32-S3 N16R8 kartı üzerindeki portlar görüldükten sonra seçilecek; Standard-A→Micro-B varsayımı geçersizdir.</t>
  </si>
  <si>
    <t>Mevcut data kablolarını say; eksikse gerçek konektöre uygun kablo seç.</t>
  </si>
  <si>
    <t>Henüz sipariş edilmedi. Native USB ve USB-UART/log hatlarının kart üzerinde ayrı port olup olmadığı, fiziksel konektör tipi ve data routing'i incelenir; yalnız ihtiyaç ve envanter kontrolünden sonra kablo alınır. Charge-only kablo kullanılmaz. Amazon AUX kablosu USB data kablosu değildir.</t>
  </si>
  <si>
    <t>Konektör ucu ve USB-UART/serial köprüsü gerçek N16R8 kartı üzerinde incelendikten sonra belirlenecek; Micro-B varsayımı yok.</t>
  </si>
  <si>
    <t>Port işlevini ve mevcut data kablolarını kontrol ettikten sonra eksikse alınır.</t>
  </si>
  <si>
    <t>Henüz sipariş edilmedi. N16R8 board üzerinde ayrı USB-UART/log bağlantısı olup olmadığı ve soket tipi doğrulanır. Native USB ve USB-UART portları aynı kartta ayrı değilse iki kablo gereksinimi de varsayılmaz.</t>
  </si>
  <si>
    <t>Sipariş edilen 140 parçalık jumper kutusu + M-M jumper seti + header'lar içeriği sayıldıktan sonra gerçek eksik tel türü belirlenecek.</t>
  </si>
  <si>
    <t>Önce alınan setleri ve laboratuvar envanterini kontrol et</t>
  </si>
  <si>
    <t>Kablo/jumper/header alımları kısmen mevcut. Henüz ilave tek damarlı tel veya F-F/M-F jumper satın alma yok; kutu içeriği sayılmadan tekrar sipariş verme.</t>
  </si>
  <si>
    <t>Amazon.com.tr Juo 1 m stereo 3.5 mm TRS örgülü AUX kablosu — 1 adet, 159,00 TL (KDV dahil).</t>
  </si>
  <si>
    <t>Amazon.com.tr — sipariş edildi</t>
  </si>
  <si>
    <t>Analog ses kablosu satın alındı. PAM8403 modülünün gerçek giriş konektörü/pinleri ve ses kaynağı kontrol edilir; başlangıçta düşük ses seviyesinde test edilir. Tutar Amazon genel toplamında sayılmıştır; gerçek harcama özetinde tekrar eklenmez.</t>
  </si>
  <si>
    <t>Satın alma kaydı: bölümde lehim istasyonu ve lehim erişimi Ozan tarafından bildirilmiştir. INMP441 modül pinout/beslemesi ve N16R8 kart port/GPIO eşlemesi doğrulanmadan ilk lehim veya güç bağlantısı yapılmaz.</t>
  </si>
  <si>
    <t>Rev02 Grup A snapshot (tarihsel; gerçek harcama değil)</t>
  </si>
  <si>
    <t>Rev02 bilinen fiyat snapshot'ı (tarihsel; gerçek harcama değil)</t>
  </si>
  <si>
    <t>Not: Ek kalemler teklif veya gerçek sipariş değildir. 13.10.2026 itibarıyla düşük-gürültülü LDO zorunlu Grup A kalemi değildir; rail-noise/SNR baseline W6'ya kadar alınır, yalnız gerekçelendirilirse W10 opsiyonel A/B değerlendirilir. PCM1808 tabanlı üçüncü taraf kart şema/pad/MCLK/format/besleme doğrulamasına ve danışman yanıtına bağlıdır; bu yanıt bu dosyada kayıtlı değildir. C-05 bölümde yoktur; kişisel dongle 20–500 Hz capture uygunluğu açık kalır. Motorobit 7×9 cm plaket ek bedeli ana sipariş özetinde geçici listelenmiştir; onay fişi beklenir.</t>
  </si>
  <si>
    <t>Rev02 tarihsel aday/known-price toplamı 4.648,32 TL olarak sabit tarihsel snapshot'tır; mevcut Satın_Alma planındaki satırlardan hesaplanmaz ve gerçekleşmiş harcama değildir. Eski formül bağlantıları kaldırıldı. Rev03 gerçek sipariş çalışma toplamı Gerçek_Sipariş_Rev03!D8 üzerinden okunur: 3.613,21 TL geçici; Motorobit ek 2×7×9 cm plaket için 90,00 TL liste fiyatı tahmini onay e-postası/fatura ile doğrulanmayı bekler. Pasif R/C ≈140,56 TL Direnç.net 2.343,88 TL genel toplamına dahildir.</t>
  </si>
  <si>
    <t>REV03 — KARAR, AÇIK MADDE VE SİPARİŞ ÖN KOŞULLARI</t>
  </si>
  <si>
    <t>Rev03: Satın alınan kalemler ve tedarikçi genel toplamları Gerçek_Sipariş_Rev03 sayfasına işlendi. Önceki kararlar geçmiş kayıt olarak korunur; REV03 aksiyonları satın alma sonrası oluşan donanım değişikliklerini ve testte kapatılması gereken riskleri izler.</t>
  </si>
  <si>
    <t>ESP32-S3'te iki 12-bit SAR ADC vardır; ADC1 continuous/DMA yalnız bench adayıdır ve PCG için audio-grade kabul edilmez. Ozan'ın 12.10.2026 lab audit bildirimine göre bölüm C-05 USB audio interface mevcut değildir. Kişisel 3,5 mm→USB adaptörünün model/analog input/capture, 20–500 Hz yanıt, AC-kuplaj/high-pass, mic bias, gain/AGC, örnekleme ve kanal özellikleri doğrulanana kadar kalibre referans veya C-05 eşdeğeri sayılmaz. Danışmana ADC seçeneği sorusu 13.10.2026 tarihinde kayda alındı; yanıt/karar bu dosyada kayıtlı değil. Seçenekler: (1) ADC1 bench değerlendirmesi; (2) şeması doğrulanmış PCM1808 tabanlı I²S ADC breakout; (3) danışmanın alternatif yolu. Onay ve exact breakout şema/pad/clock/power/format/input kontrolü gelene kadar yalnız PCM1808 modülü satın alınmaz; bu kapı bağımsız W4 Grup A kalemlerini durdurmaz.</t>
  </si>
  <si>
    <t>Danışman ADC sorusu 13.10.2026 tarihinde kayda alındı; yanıt/karar bu dosyada kayıtlı değil. W4 satın alma kapısı öncesi takip edilmeli.</t>
  </si>
  <si>
    <t>Yalnız PCM1808 modülü danışman onayı ve gerçek breakout şema/pad/clock/power/format/input doğrulamasına kadar bekler. Bu ön koşul yalnız PCM1808 kalemine uygulanır; sipariş edilmiş N16R8, INMP441, ECM, op-amp ve kendi kontrolleri tamamlanmış diğer bağımsız kalemleri durdurmaz.</t>
  </si>
  <si>
    <t>Historical PUI EB-R pad-map gate — superseded</t>
  </si>
  <si>
    <t>Rev02 candidate evaluation board was not acquired. Rev03 uses 3 × INMP441 I²S breakout modules. Inspect the actual INMP441 breakout VDD/GND/L/R/WS/SCK/SD labels and the N16R8 board interface; do not transfer the old PUI pad map.</t>
  </si>
  <si>
    <t>SUPERSEDED BY R03-002 — MODULE PINOUT CHECK OPEN</t>
  </si>
  <si>
    <t>Before first INMP441 wiring; Week-4 interface freeze</t>
  </si>
  <si>
    <t>The PUI-specific purchase/pad-map path is no longer the Rev03 active path. Actual INMP441 breakout pinout and supply limits must be verified before wiring.</t>
  </si>
  <si>
    <t>PUI EB-R datasheet is historical only; current item: INMP441 module listing/datasheet; R03-002</t>
  </si>
  <si>
    <t>Rev03 supply rule: USB 5 V only to the verified power input of the purchased ESP32-S3 N16R8 board; never directly to the INMP441 VDD or MCP6022 AFE rail. Verify the actual breakout VDD range and labels before powering it. RC is filter/decoupling, not a regulator. Low-noise LDO remains optional until rail-noise/SNR baseline supports it.</t>
  </si>
  <si>
    <t>OPTIONAL — BASELINE FIRST; MEASUREMENT JUSTIFICATION REQUIRED</t>
  </si>
  <si>
    <t>W6 rail-noise/SNR baseline; optional LDO A/B at W10 only if justified. 3.3 V or any RC path is not assumed before INMP441 module supply/pinout and N16R8 power input are checked.</t>
  </si>
  <si>
    <t>USB cables and actual N16R8 port topology</t>
  </si>
  <si>
    <t>The Rev02 two × Standard-A→Micro-B idea was tied to the planned N8R8 DevKitC-1 and is superseded. Inspect the purchased N16R8 board's connector types, native USB vs USB-UART/log routing and port labels. Count existing data cables first; buy only compatible missing ones.</t>
  </si>
  <si>
    <t>OPEN — PHYSICAL BOARD / INVENTORY CHECK</t>
  </si>
  <si>
    <t>When N16R8 board is available; before first flash/wiring</t>
  </si>
  <si>
    <t>No USB data cable appears in the reported order list. The Amazon 3.5 mm AUX lead is an analog audio cable, not a USB data cable. Do not assume Micro-B or two-port routing.</t>
  </si>
  <si>
    <t>Direnç.net N16R8 board listing; R03-001; Sipariş_Hazırlık A-17</t>
  </si>
  <si>
    <t>ECM purchase quantity / reserve status</t>
  </si>
  <si>
    <t>Rev02 target was 4 × Kingstate KECG2740PBJ (2 use + 2 reserve). Rev03 actual Farnell/SAMM #FS1228810 reports 2 units; 2 additional reserve units were not ordered.</t>
  </si>
  <si>
    <t>RECORDED — 2 ORDERED / 2 SHORT OF OLD PLAN</t>
  </si>
  <si>
    <t>Project team / procurement</t>
  </si>
  <si>
    <t>Before deciding whether to order further reserve units</t>
  </si>
  <si>
    <t>Supplier total 381.56 TL includes reported VAT/shipping for the 2-unit order; whether two more are needed depends on team reserve policy and test plan.</t>
  </si>
  <si>
    <t>Farnell/SAMM #FS1228810; Gerçek_Sipariş_Rev03</t>
  </si>
  <si>
    <t>Several prototyping/connectivity items were ordered: 2 × 830-point breadboards, one boxed 140-piece jumper set, one 40-piece male-male jumper set, 3 × 10K trimpots, 3 × 100K trimpots, 3 × 1×11 male headers, 2 × 1×40 female headers and 3 × DIP-8 sockets. Inspect contents/inventory and identify remaining solid-core wire or F-F/M-F jumper needs before any further purchase.</t>
  </si>
  <si>
    <t>PARTIALLY FULFILLED — INVENTORY CHECK OPEN</t>
  </si>
  <si>
    <t>Purchased item amounts remain inside supplier totals; do not double-count them. Additional cable/wire purchase only after actual kit inventory check.</t>
  </si>
  <si>
    <t>Gerçek_Sipariş_Rev03; Sipariş_Hazırlık A-11/A-19</t>
  </si>
  <si>
    <t>Rev03'te THT direnç/kondansatör pasif grubu Direnç.net siparişinde yer alıyor; yaklaşık grup toplamı 140,56 TL olarak kaydedildi. Eski 1.004,12 TL büyük kondansatör seti adayı alınmadı.</t>
  </si>
  <si>
    <t>CLOSED — REV03 PASİF R/C GRUBU SİPARİŞ EDİLDİ</t>
  </si>
  <si>
    <t>17.10.2026 — teslimde içerik ve adet kontrolü</t>
  </si>
  <si>
    <t>THT R/C grup tutarı yaklaşık 140,56 TL'dir ve Direnç.net 2.343,88 TL genel siparişine dahildir; genel harcamaya tekrar eklenmez. 0603 SMD kalemler yalnız koşullu PCB içindir.</t>
  </si>
  <si>
    <t>Rev03 actual purchase: 4 × PAM8403 modules from Motorobit (not the old planned 2 × Robotistan line). Product life-cycle and 12 Ω exciter compatibility risk remain; first test one module/speaker at low signal and measure waveform/distortion before extended use.</t>
  </si>
  <si>
    <t>REV03 — 4 ORDERED; BENCH VALIDATION OPEN</t>
  </si>
  <si>
    <t>Before any sustained or high-level drive; test one module and one 12 Ω exciter first</t>
  </si>
  <si>
    <t>Use one channel; do not connect either BTL speaker output to system GND or to each other. Verify labels, drive and low-frequency response. Rev03 provisional Motorobit working total is 728.77 TL (previous 638.77 TL basket + provisional 90 TL for two 7×9 cm boards); supplier confirmation/invoice still pending. Expense is counted once in Gerçek_Sipariş_Rev03.</t>
  </si>
  <si>
    <t>Motorobit PAM8403 listing; Gerçek_Sipariş_Rev03; R03-005</t>
  </si>
  <si>
    <t>R03-001</t>
  </si>
  <si>
    <t>MCU board change</t>
  </si>
  <si>
    <t>2 × DirencNet ESP32-S3 N16R8 WiFi Bluetooth Board ordered; prior ESP32-S3-DevKitC-1-N8R8 proposal is not the delivered board baseline.</t>
  </si>
  <si>
    <t>OPEN — RECEIVED BOARD INSPECTION</t>
  </si>
  <si>
    <t>Before pin/firmware freeze</t>
  </si>
  <si>
    <t>Inspect exact board revision, module marking, port count/type, USB-UART bridge vs native USB wiring and GPIO labels; do not assume old DevKitC-1 pin map.</t>
  </si>
  <si>
    <t>R03-002</t>
  </si>
  <si>
    <t>MEMS supplier/model change</t>
  </si>
  <si>
    <t>PUI DMM-4026-B-I2S-EB-R was not acquired; 3 × INMP441 I²S breakout modules were ordered instead.</t>
  </si>
  <si>
    <t>OPEN — 20–60 Hz VALIDATION RISK</t>
  </si>
  <si>
    <t>Before sensor acceptance / G2</t>
  </si>
  <si>
    <t>Manufacturer specifies 60 Hz lower cutoff and typical 61 dBA SNR; capture 20–500 Hz response and document 20–60 Hz limitation. Check actual module markings/pinout; no final MEMS winner before same-phantom comparison.</t>
  </si>
  <si>
    <t>https://invensense.tdk.com/wp-content/uploads/2015/02/INMP441.pdf</t>
  </si>
  <si>
    <t>R03-003</t>
  </si>
  <si>
    <t>Actual procurement expenditure</t>
  </si>
  <si>
    <t>Rev03 gerçek sipariş toplamları: Motorobit 728,77 TL geçici (önceki 638,77 TL temel sepet + sonradan bildirilen iki 7×9 cm plaket için 90,00 TL liste fiyatı tahmini); Direnç.net 2.343,88 TL; Farnell/SAMM 381,56 TL; Amazon 159,00 TL.</t>
  </si>
  <si>
    <t>RECORDED — USER-SUPPLIED TOTALS</t>
  </si>
  <si>
    <t>Rev03, 17.10.2026</t>
  </si>
  <si>
    <t>Rev03 çalışma toplamı 3.613,21 TL'dir (geçici; Motorobit ek 2×7×9 cm plaket için güncel liste fiyatıyla +90,00 TL eklenmiştir; sipariş onayı/fatura bekleniyor). Gerçek harcama hücresi Gerçek_Sipariş_Rev03!D8'dir. Motorobit A-07/A-08 birim fiyatları KDV dahil, satır alt toplamları KDV hariçtir; %20 KDV ile tutarlar eşleşir. Direnç.net bildirilen genel toplamında ürün ve indirim özetinde 0,01 TL yuvarlama farkı bulunduğundan bildirilen genel toplam esas alınır. Farnell/SAMM #FS1228810: 16.10.2026, Ödendi (Credit Card); teslim tarihi doğrulanmadı.</t>
  </si>
  <si>
    <t>Gerçek_Sipariş_Rev03</t>
  </si>
  <si>
    <t>R03-004</t>
  </si>
  <si>
    <t>ECM quantity shortfall</t>
  </si>
  <si>
    <t>2 × Kingstate KECG2740PBJ ordered under Farnell/SAMM #FS1228810; earlier target was 4 units.</t>
  </si>
  <si>
    <t>OPEN — RESERVE DECISION</t>
  </si>
  <si>
    <t>Before ordering more</t>
  </si>
  <si>
    <t>Two of the four planned units purchased. Decide whether two additional reserve units are still required; order total includes shipping and VAT.</t>
  </si>
  <si>
    <t>R03-005</t>
  </si>
  <si>
    <t>PAM8403 quantity deviation</t>
  </si>
  <si>
    <t>4 × PAM8403 modules ordered from Motorobit vs previous planned 2 modules.</t>
  </si>
  <si>
    <t>RECORDED — BENCH VALIDATION OPEN</t>
  </si>
  <si>
    <t>Before using higher drive level</t>
  </si>
  <si>
    <t>Test one module and one 12 Ω exciter first, keep Class-D BTL outputs separate from ground; verify gain/drive and thermal behavior. No assumption that 4/8 Ω power figures apply to 12 Ω.</t>
  </si>
  <si>
    <t>REVİZYON GEÇMİŞİ — SATIN ALMA VE TEST ÇALIŞMA KİTABI</t>
  </si>
  <si>
    <t>03</t>
  </si>
  <si>
    <t>17.10.2026</t>
  </si>
  <si>
    <t>Gerçek siparişler + teknik baseline güncellemesi</t>
  </si>
  <si>
    <t>INMP441 ×3 ve ESP32-S3 N16R8 ×2 satın alınan baseline'a göre hizalandı; PUI EB-R alınmadı. Kingstate ECM ×2, MCP6022 ×5, Motorobit titreşim hoparlörü ×2, PAM8403 ×4; pasif THT R/C grubu ≈140,56 TL Direnç.net toplamına dahil. Motorobit ek 2×7×9 cm plaketin 90,00 TL tahmini geçici; toplam çalışma maliyeti 3.613,21 TL provizyoneldir. INMP441 60 Hz LF, 1,8–3,3 V nominal; N16R8 GPIO35–37 Octal PSRAM notu ve gerçek pin/USB doğrulama kapıları kaydedildi.</t>
  </si>
  <si>
    <t>Ek 2×7×9 cm plaketlerin sipariş teyidi/faturası, teslim ve fiziksel testler doğrulanmadı. A-12 için ürün detay sayfası ve kategori görünümü linklendi; 63,93/75,55 TL KDV dahil görüntüleri farklı olduğundan sipariş anı fiyat/SKU fatura/e-posta ile doğrulanmalı.</t>
  </si>
  <si>
    <t>03-QA</t>
  </si>
  <si>
    <t>18.10.2026</t>
  </si>
  <si>
    <t>Teslim öncesi formül ve tutarlılık QA</t>
  </si>
  <si>
    <t>Sipariş_Kayıt G7/G8 formülleri 363,24 / 290,60 TL; A-05 pasif grup G9 140,56 TL. A-07/A-08 KDV hariç F/G değerleri 88,375 / 17,675 TL ve 176,75 / 70,70 TL. Rev02_Ek_Kalemler B18/B20 sabit tarihsel 4.648,32 TL snapshot; Satın_Alma plan toplamı gerçek harcama değildir. A-12 özel sayfa + kategori linki eklendi (63,93/75,55 TL KDV dahil farkı notlandı). Farnell gerçek sipariş bilgisi EUR snapshot'ından ayrıldı.</t>
  </si>
  <si>
    <t>Motorobit ek 2×7×9 cm plaket 90,00 TL tahmini ve 3.613,21 TL çalışma toplamı hâlâ sipariş onayı/fatura teyidi bekliyor. Tedarikçi toplamı gerçek harcama kaydıdır; ürün teslimi ve fiziksel testler doğrulanmış değildir.</t>
  </si>
  <si>
    <t>REV03 — SİPARİŞ DURUMU / ALINAN PARÇALAR VE AÇIK KAPILAR</t>
  </si>
  <si>
    <t>REV03: Çalışma toplamı 3.613,21 TL (geçici; Motorobit onay e-postası/faturası bekleniyor). Motorobit için önceki 638,77 TL sepete, güncel 7×9 cm plaket sayfasındaki 45,00 TL/adet fiyatıyla iki ek plaket için 90,00 TL eklendi. Diğer tedarikçi toplamları: Direnç.net 2.343,88 TL; Farnell/SAMM #FS1228810 381,56 TL; Amazon 159,00 TL. Sipariş edilen: 2 × Kingstate ECM, 3 × INMP441, 2 × ESP32-S3 N16R8, 5 × MCP6022, 2 × titreşim hoparlörü, 4 × PAM8403, R/C ve prototipleme/kablo/plaket parçaları. PUI EB-R alınmadı. Teslim ve fiziksel test başarısı doğrulanmadı.</t>
  </si>
  <si>
    <t>BEKLE — kesin SKU ve göğüs başlığı/tüp ölçüsü</t>
  </si>
  <si>
    <t>Gerçek model seç; fantom cavity ve başlık çapıyla uyumunu belirle.</t>
  </si>
  <si>
    <t>Henüz sipariş edilmedi; mekanik geometri belirlenmeden alma.</t>
  </si>
  <si>
    <t>SİPARİŞ EDİLDİ — Kingstate ECM ×2; eski 4 adetlik hedeften 2 adet açık</t>
  </si>
  <si>
    <t>Sipariş #FS1228810; sipariş tarihi 16.10.2026; ödeme durumu Ödendi (Credit Card). İki ilave/yedek adet gerekli mi ayrıca karar ver.</t>
  </si>
  <si>
    <t>Farnell/SAMM toplamı 381,56 TL kargo ve KDV dahil. Sipariş tarihi/ödeme durumu bildirildi; teslim tarihi ve fiziksel teslim henüz doğrulanmadı. Nihai sensör seçimi fantom ölçümüne bağlı.</t>
  </si>
  <si>
    <t>SİPARİŞ EDİLDİ — INMP441 I²S breakout ×3; PUI EB-R alınmadı</t>
  </si>
  <si>
    <t>Gerçek breakout üzerindeki VDD/GND/LR/WS/SCK/SD etiketlerini datasheet ile eşleştir; N16R8 pin atamasını ayrıca doğrula.</t>
  </si>
  <si>
    <t>INMP441 datasheet alt kesimi 60 Hz; 20–60 Hz risk var, aynı fantomda 20–500 Hz yanıt ölçülmeden kabul yok.</t>
  </si>
  <si>
    <t>https://www.direnc.net/inmp441-mems-i2s-cok-yonlu-mikrofon-modulu | https://invensense.tdk.com/wp-content/uploads/2015/02/INMP441.pdf</t>
  </si>
  <si>
    <t>SİPARİŞ EDİLDİ — MCP6022-I/P DIP-8 ×5</t>
  </si>
  <si>
    <t>ECM AFE için şema, bias noktası, kazanç, filtre kesimleri ve ADC1 giriş aralığını hesapla; önce breadboard.</t>
  </si>
  <si>
    <t>Satın alma, AFE'nin tasarlanıp/test edildiği anlamına gelmez.</t>
  </si>
  <si>
    <t>SİPARİŞ EDİLDİ — pasif R/C grubu; yaklaşık satır toplamı 140,56 TL</t>
  </si>
  <si>
    <t>Kullanıcı talebiyle direnç ve kondansatörler grup toplamı olarak tutuldu; tek tek link yok.</t>
  </si>
  <si>
    <t>Yaklaşık 140,56 TL grup toplamı; Direnç.net 2.343,88 TL genel siparişine dahildir ve genel harcamaya ayrıca eklenmez.</t>
  </si>
  <si>
    <t>SİPARİŞ EDİLDİ — ESP32-S3 N16R8 board ×2</t>
  </si>
  <si>
    <t>Teslimde kart revizyonu, modül işareti, USB port tipi/işlevi, USB-UART bridge/native USB ve GPIO etiketleri kontrol edilsin.</t>
  </si>
  <si>
    <t>Bu kart önceki DevKitC-1-N8R8 ürünü değildir; eski Micro-B/dual-port varsayımı kullanılamaz.</t>
  </si>
  <si>
    <t>SİPARİŞ EDİLDİ — Motorobit 30 mm / 12 Ω titreşim hoparlörü ×2</t>
  </si>
  <si>
    <t>Bir üniteyi düşük seviyede PAM8403 ile test et; mekanik temas/silikon montajı sabit olsun; 20–500 Hz cevap ölç.</t>
  </si>
  <si>
    <t>Güç dayanımı ve frekans cevabı sipariş metninde doğrulanmadı; fiziksel fantom testleri yok.</t>
  </si>
  <si>
    <t>SİPARİŞ EDİLDİ — PAM8403 modülü ×4</t>
  </si>
  <si>
    <t>Önce bir modülü test et; BTL çıkışları GND'ye bağlama; hoparlör empedansında seviye, distorsiyon ve sıcaklık kontrolü yap.</t>
  </si>
  <si>
    <t>Önceki 2 adetlik planın yerine 4 adetlik gerçek sipariş bildirildi; gerçek harcama tedarikçi toplamında sayılır.</t>
  </si>
  <si>
    <t>BEKLE — 3 mm silikon levha / numune miktarı</t>
  </si>
  <si>
    <t>Kaan'ın cavity geometrisi, gerginlik ve mekanik temas planı netleşince numune veya ebat seç.</t>
  </si>
  <si>
    <t>Henüz satın alınmadı; sipariş maliyetine dahil değil.</t>
  </si>
  <si>
    <t>BEKLE — fantom rijit çerçevesi</t>
  </si>
  <si>
    <t>Pleksi boyutu, delik çapları, speaker mounting ve chestpiece holder çizilmeden tam levha sipariş etme.</t>
  </si>
  <si>
    <t>SİPARİŞ EDİLDİ — prototipleme sarf grubu</t>
  </si>
  <si>
    <t>Motorobit: 140 parçalık jumper kutusu ×1, 100K trimpot ×3, 1×40 dişi header ×2. Direnç.net: 830 nokta breadboard ×2, erkek-erkek jumper seti ×1, 10K trimpot ×3, 1×11 header ×3, DIP-8 soket ×3.</t>
  </si>
  <si>
    <t>Ayrıntılı kalemler Gerçek_Sipariş_Rev03'te; set içerikleri teslimde kontrol edilecek.</t>
  </si>
  <si>
    <t>SİPARİŞ EDİLDİ — Direnç.net stereo mikrofon/ECM kablosu ×1</t>
  </si>
  <si>
    <t>Direnç.net'ten bildirilen 1 m stereo mikrofon kablosu ECM/AFE denemesi için; ekran/iletken uçlarını ölç ve lehim öncesi doğrula.</t>
  </si>
  <si>
    <t>Direnç.net 1 m stereo mikrofon kablosu. Ürün adına uyan detay sayfası DSTK2244: https://www.direnc.net/stereo-mikrofon-kablosu (53,27 TL + KDV / 63,93 TL dahil). Direnç.net kategori görünümü aynı isimli kabloyu 75,55 TL dahil listeliyor: https://www.direnc.net/adjacent-shielded-cable . Kullanıcının sipariş özeti 75,55 TL; iki kamuya açık liste görünümü farklı olduğundan sipariş anı SKU/fiyatı fatura/e-posta ile teyit edilmeli. Amazon Juo AUX kablosu A-20 ayrıdır; teslimde ekran ve iletken uçları doğrula.</t>
  </si>
  <si>
    <t>SİPARİŞ EDİLDİ — delikli plaket: 1 × 12×12 cm + 2 × 7×9 cm</t>
  </si>
  <si>
    <t>Analog AFE'yi önce breadboardda doğrula; sonra uygun plaket boyutuna aktar. Header/soket ayak izlerini kontrol et.</t>
  </si>
  <si>
    <t>Motorobit ek 2 × 7×9 cm plaket, güncel liste fiyatına göre 2 × 45,00 = 90,00 TL olarak geçici hesaba alındı. Onay e-postası/fatura ile kesinleştirilecek.</t>
  </si>
  <si>
    <t>ŞİMDİ ALMA — düşük gürültülü LDO opsiyonel</t>
  </si>
  <si>
    <t>W6 rail-noise baseline ölçümüne göre gerekirse W10 A/B testi tasarla.</t>
  </si>
  <si>
    <t>Group A zorunlu sipariş kalemi değil; mevcut toplamda yok.</t>
  </si>
  <si>
    <t>https://www.ti.com/product/LP5907</t>
  </si>
  <si>
    <t>ZORUNLU SATIN ALMA DEĞİL — bölüm USB audio interface yok</t>
  </si>
  <si>
    <t>Kişisel 3,5 mm→USB adaptörü varsa modelini ve analog input/capture özelliğini bilinen sinyalle ölç; ECM ana yoluna otomatik eşdeğer sayma.</t>
  </si>
  <si>
    <t>Kullanıcının sipariş listesinde C-05 veya kişisel dongle doğrulanmış satın alma değil.</t>
  </si>
  <si>
    <t>Kişisel adaptör modeli/işlevi açık</t>
  </si>
  <si>
    <t>AÇIK — referans ölçüm yolu</t>
  </si>
  <si>
    <t>Laboratuvar envanteri ve Kaan'ın referans kanal ihtiyacı belirlensin; 20–500 Hz davranışı ve kalibrasyon durumu kaydedilsin.</t>
  </si>
  <si>
    <t>Uygun referans sensör/ölçüm yöntemi satın alınmış sayılmaz.</t>
  </si>
  <si>
    <t>T-AUD-01 / T-AUD-05</t>
  </si>
  <si>
    <t>BEKLE — ikinci farklı eksiter</t>
  </si>
  <si>
    <t>İlk eksiterle fantom sonuçları ve gereksinimlere göre alternatif model seç; exact SKU ve frekans-cevap kanıtı gerekir.</t>
  </si>
  <si>
    <t>Henüz satın alınmadı; 30 mm / 12 Ω hoparlörün yanına otomatik eklenmiyor.</t>
  </si>
  <si>
    <t>AÇIK — uyumlu USB data kabloları</t>
  </si>
  <si>
    <t>N16R8 board üzerindeki konektörleri teslimde kontrol et ve bölüm envanterindeki kabloları dene; yalnız eksik olan uyumlu DATA kablosunu al.</t>
  </si>
  <si>
    <t>Kullanıcının sipariş listesinde USB data kablosu yok; Micro-B/Type-C varsayımı yapma.</t>
  </si>
  <si>
    <t>ŞİMDİ ALMA — ek carrier/adapter gereksinimi kanıtlanmadı</t>
  </si>
  <si>
    <t>INMP441 breakout'ın gerçek pin dizilimi ve montajı doğrulansın; ekstra taşıyıcı ancak ihtiyaç varsa tasarlansın.</t>
  </si>
  <si>
    <t>PUI EB-R carrier planı artık aktif değil; ayrı carrier satın alınmadı.</t>
  </si>
  <si>
    <t>Rev03 karar kaydı</t>
  </si>
  <si>
    <t>AÇIK — lehim istasyonuna erişim</t>
  </si>
  <si>
    <t>Bölümden kullanım zamanı/denetimli erişimi teyit et; breadboard devresi doğrulanmadan lehimli plaket yapma.</t>
  </si>
  <si>
    <t>Ekipman mevcudiyet bildirimi fiziksel erişim veya kalibrasyon kanıtı değil.</t>
  </si>
  <si>
    <t>Laboratuvar denetim kaydı</t>
  </si>
  <si>
    <t>BEKLE — tubing / O-ring / adaptör</t>
  </si>
  <si>
    <t>Cavity/göğüs başlığı geometrisi seçildikten sonra çap/uzunluk ölçülendir.</t>
  </si>
  <si>
    <t>Henüz satın alınmadı; miktar ve SKU tasarıma bağlı.</t>
  </si>
  <si>
    <t>Mekanik ölçü çizimi</t>
  </si>
  <si>
    <t>SİPARİŞ VERME — PCM1808 modülü ayrı danışman/şema kapısı</t>
  </si>
  <si>
    <t>Yalnız danışman onayı ve exact module schematic/power/clock/format/input coupling kontrolü sonrası.</t>
  </si>
  <si>
    <t>Bu koşul yalnız PCM1808 modülü için; diğer bağımsız Grup A kalemlerini durdurmaz.</t>
  </si>
  <si>
    <t>AÇIK — Native USB DATA kablosu; henüz sipariş edilmedi</t>
  </si>
  <si>
    <t>N16R8 kartı teslimde incelendiğinde gerçek USB konektör ve native USB port işlevini belirle; önce mevcut data kablolarını kontrol et.</t>
  </si>
  <si>
    <t>Sipariş listesinde USB data kablosu yok. AUX ses kablosu USB kablosu değildir. Yalnız board portuna uygun eksik DATA kablosu alınır; charge-only kablo kullanılmaz.</t>
  </si>
  <si>
    <t>AÇIK — solid-core jumper/tel/header eksikleri; henüz sipariş edilmedi</t>
  </si>
  <si>
    <t>Sipariş edilmiş Motorobit 140 parça jumper kutusu, Direnç.net M-M jumper, header ve breadboard setlerini teslimde say; yalnız eksikler kalırsa al.</t>
  </si>
  <si>
    <t>Yeni tek damarlı tel veya ilave jumper/header siparişi verilmiş olarak kaydedilmedi; set içerikleri kontrol edilmeden tekrar satın alma yapma.</t>
  </si>
  <si>
    <t>Gerçek_Sipariş_Rev03 / laboratuvar envanteri</t>
  </si>
  <si>
    <t>SİPARİŞ EDİLDİ — Amazon Juo Stereo 3,5 mm TRS AUX kablosu ×1</t>
  </si>
  <si>
    <t>PC/telefon çıkışından PAM8403 girişine gider. Kesme/lehim öncesi kablo uçlarını ve modül girişini kontrol et.</t>
  </si>
  <si>
    <t>159,00 TL KDV dahil, kargo 0,00 TL; Amazon genel toplamına dahil. Bu kablo A-12 mikrofon kablosundan ayrı kayıtlıdır; ürün modeli için Juo resmi sayfası.</t>
  </si>
  <si>
    <t>REV03 — TARİHSEL FARNELL / EUR LİSTE FİYATI VE KUR ÇAPRAZ KONTROLÜ (GERÇEK SİPARİŞTEN AYRI)</t>
  </si>
  <si>
    <t>REV03: Bu sayfadaki bazı Farnell/PUI fiyatları ve döviz snapshot'ları Rev02 tarihsel araştırma kayıtlarıdır; PUI EB-R satın alınmadı ve bunlar gerçek harcama değildir. Gerçek tedarikçi toplamları Gerçek_Sipariş_Rev03 sayfasındadır.</t>
  </si>
  <si>
    <t>Tarihsel cross-check: PUI EB-R için 2,46 EUR liste snapshot'ı Rev02 aday araştırmasıdır; PUI alınmadı. Kingstate'in 1,05 EUR public listing ve 13.10.2026 kur snapshot'ı da gerçek fatura fiyatı değildir. Gerçek Farnell/SAMM siparişi #FS1228810 (16.10.2026): 2 × 84,4837 TL = 168,9674 TL ürün ara toplamı (KDV hariç) + 149,0012 TL kargo (KDV hariç) + 63,5937 TL KDV = 381,5624 TL (görüntülenen 381,56 TL). Gerçek sipariş Gerçek_Sipariş_Rev03 sayfasındadır; tarihsel EUR dönüşümüyle karıştırılmamalıdır.</t>
  </si>
  <si>
    <t>PAM8403 fiyat gözlemleri (13.10.2026) artık yalnızca tarihsel bağlamdır: arayüzde 21,65 TL KDV dahil + stokta yok, başka bir sayfada 19,72 TL + sepete ekle görünmüştü. Rev03 bildirilen gerçek sipariş 4 modül, birim 21,21 TL KDV dahil; 70,70 TL satır ara toplamı + %20 KDV = 84,84 TL. Harcama için Gerçek_Sipariş_Rev03'teki Motorobit genel toplamı esas alınır.</t>
  </si>
  <si>
    <t>REV03 — SİPARİŞ VE HARCAMA ÖZETİ (MOTOROBIT EK KALEM TEYİDİ BEKLİYOR)</t>
  </si>
  <si>
    <t>Kaynak: kullanıcı tarafından iletilen sipariş özeti ve mevcut Motorobit 7×9 cm plaket ürün sayfası. Motorobit onay e-postası bu konuşmada bulunmadığından, iki ek 7×9 cm plaket için 2 × 45,00 TL = 90,00 TL mevcut liste fiyatına göre geçici olarak eklenmiştir; Motorobit ara/toplam ve tüm sipariş genel toplamı onay e-postası/fatura gelene kadar PROVİZYONELDİR. Teslim alma ve fiziksel test başarısı varsayılmaz.</t>
  </si>
  <si>
    <t>Tedarikçi / Sipariş</t>
  </si>
  <si>
    <t>Sipariş kapsamı</t>
  </si>
  <si>
    <t>KDV / kargo / indirim notu</t>
  </si>
  <si>
    <t>Genel Toplam (TRY)</t>
  </si>
  <si>
    <t>2 × 30 mm / 12 Ω titreşim hoparlörü; 4 × PAM8403; 1 × 140 parça jumper seti; 3 × 100K trimpot; 1 × 12×12 cm + 2 × 7×9 cm delikli plaket; 2 × 1×40 dişi header.</t>
  </si>
  <si>
    <t>Birim fiyatlar KDV dahil, satır ara toplamları KDV hariç gösterilmiştir. A-07: 2×106,05=212,10 TL KDV dahil; 176,75×1,20=212,10 TL. A-08: 4×21,21=84,84 TL KDV dahil; 70,70×1,20=84,84 TL. Fark yoktur. Ek 2×7×9 cm plaketler için 90,00 TL güncel liste fiyatı geçici eklenmiştir; sipariş teyidi/fatura bekleniyor.</t>
  </si>
  <si>
    <t>3 × INMP441 I²S breakout; 2 × ESP32-S3 N16R8 board; 5 × MCP6022-I/P; 2 × 830 nokta breadboard; jumper setleri; trimpot; erkek header/DIP-8 soket; 1 m stereo mikrofon kablosu; pasif R/C grubu.</t>
  </si>
  <si>
    <t>Direnç.net bildirimi: ürünler 2.345,88 TL KDV dahil; indirim −2,01 TL; ücretsiz kargo; bildirilen genel toplam 2.343,88 TL. Aritmetik fark 0,01 TL olduğundan kullanıcı tarafından bildirilen sipariş genel toplamı esas alınır. Pasif R/C grubu yaklaşık 140,56 TL bu toplama dahildir; ayrıca eklenmez.</t>
  </si>
  <si>
    <t>Farnell / SAMM Teknoloji — #FS1228810</t>
  </si>
  <si>
    <t>2 × Kingstate KECG2740PBJ ECM microphone</t>
  </si>
  <si>
    <t>Ürün ara toplamı 168,9674 TL + KDV; kargo 149,0012 TL + KDV; KDV 63,5937 TL; genel toplam 381,5624 TL, görüntülenen 381,56 TL. Sipariş tarihi 16.10.2026; ödeme durumu Ödendi (Credit Card); sipariş no #FS1228810. Eski 4 adetlik hedefin 2 yedek adedi alınmadı. Teslim tarihi/teslim alma doğrulanmadı.</t>
  </si>
  <si>
    <t>1 × Juo Stereo 3,5 mm TRS jack örgülü AUX kablo, 1 m</t>
  </si>
  <si>
    <t>KDV dahil 159,00 TL; kargo/paketleme 0,00 TL.</t>
  </si>
  <si>
    <t>GENEL TOPLAM — PROVİZYONEL (MOTOROBIT ONAYI BEKLİYOR)</t>
  </si>
  <si>
    <t>Dört tedarikçi toplamının yeniden hesaplanan çalışma toplamı; Motorobit satırı 2 ek 7×9 cm plaketin güncel liste fiyatıyla geçici olarak düzeltilmiştir.</t>
  </si>
  <si>
    <t>Motorobit 728,77 + Direnç.net 2.343,88 + Farnell/SAMM 381,56 + Amazon 159,00 = 3.613,21 TL. Genel toplam geçicidir: Motorobit'teki sonradan eklenen iki 7×9 cm plaket için 90,00 TL liste fiyatı tahmini kullanıldı; onay e-postası/fatura bekleniyor. Pasif R/C yaklaşık 140,56 TL Direnç.net toplamına dahildir ve tekrar eklenmez.</t>
  </si>
  <si>
    <t>SİPARİŞ EDİLEN KALEMLER — SATIR TUTARLARI BİLGİ AMAÇLIDIR; GENEL HARCAMA TOPLAMINA TEKRAR EKLENMEZ</t>
  </si>
  <si>
    <t>Ürün / Grup</t>
  </si>
  <si>
    <t>Birim Fiyat (TRY)</t>
  </si>
  <si>
    <t>Satır tutarı metindeki hali</t>
  </si>
  <si>
    <t>KDV / fiyat notu</t>
  </si>
  <si>
    <t>Sipariş / teknik not</t>
  </si>
  <si>
    <t>30 mm, 12 Ω titreşim/rezonans hoparlörü</t>
  </si>
  <si>
    <t>176,75 TL (+%20 KDV)</t>
  </si>
  <si>
    <t>Bildirilen format: birim fiyat 106,05 TL KDV dahil; satır alt toplamı 176,75 TL KDV hariç. 176,75 × 1,20 = 212,10 TL ve 2 × 106,05 = 212,10 TL KDV dahil; tutarlar uyuşur.</t>
  </si>
  <si>
    <t>2 adet sipariş edildi; 20–500 Hz frekans cevabı henüz ölçülmedi.</t>
  </si>
  <si>
    <t>3W 2 kanal mini amfi devresi — PAM8403</t>
  </si>
  <si>
    <t>70,70 TL (+%20 KDV)</t>
  </si>
  <si>
    <t>Bildirilen format: birim fiyat 21,21 TL KDV dahil; satır alt toplamı 70,70 TL KDV hariç. 70,70 × 1,20 = 84,84 TL ve 4 × 21,21 = 84,84 TL KDV dahil; tutarlar uyuşur.</t>
  </si>
  <si>
    <t>4 adet sipariş edildi; gerçek modül bağlantılarını teslimde doğrula; BTL çıkışları GND'ye bağlama.</t>
  </si>
  <si>
    <t>140 parça kutulu jumper kablo seti</t>
  </si>
  <si>
    <t>106,05 TL (+%20 KDV)</t>
  </si>
  <si>
    <t>Fiyat ayrıntısı metindeki haliyle aktarılmıştır.</t>
  </si>
  <si>
    <t>https://www.motorobit.com/140-parca-kutulu-jumper-kablo-kiti-140-piece-jumper-wire-kit</t>
  </si>
  <si>
    <t>İçerik kontrolü yap; Direnç.net M-M jumper ve breadboardlarıyla örtüşme ihtimalini dikkate al.</t>
  </si>
  <si>
    <t>A-05 / R-C</t>
  </si>
  <si>
    <t>100K trimpot 3296</t>
  </si>
  <si>
    <t>18,18 TL (+%20 KDV)</t>
  </si>
  <si>
    <t>3 × 7,27 TL = 21,81 TL KDV dahil; gösterilen 18,18 TL satır alt toplamı %20 KDV eklenince yaklaşık 21,82 TL olur. Yaklaşık 0,01 TL satır yuvarlaması olabilir; tedarikçi genel toplamı esas alınır.</t>
  </si>
  <si>
    <t>Ayrı sipariş kalemi; Direnç.net'ten sipariş edilen 10K trimpotla karıştırılmamalı.</t>
  </si>
  <si>
    <t>35,35 TL (+%20 KDV)</t>
  </si>
  <si>
    <t>Kullanıcı özetinde 35,35 TL (+KDV) olarak aktarılmıştır; Motorobit genel toplamına dahildir. Satır gösterimi bu kayıt için yeniden toplamın yerine geçmez.</t>
  </si>
  <si>
    <t>1 adet sipariş edildi.</t>
  </si>
  <si>
    <t>A-11 / connector</t>
  </si>
  <si>
    <t>1×40, 40 pin, 180° dişi header</t>
  </si>
  <si>
    <t>11,11 TL (+%20 KDV)</t>
  </si>
  <si>
    <t>Bildirilen format: birim fiyat 6,67 TL KDV dahil; satır alt toplamı 11,11 TL KDV hariç. 11,11 × 1,20 ≈ 13,33 TL; 2 × 6,67 = 13,34 TL, yaklaşık 0,01 TL yuvarlama farkı. Motorobit genel toplamı esas alınır.</t>
  </si>
  <si>
    <t>2 adet sipariş edildi; gerçek pin aralığı/uyum teslimde kontrol edilmeli.</t>
  </si>
  <si>
    <t>7×9 cm delikli plaket (sonradan eklenen kalem)</t>
  </si>
  <si>
    <t>2 × 45,00 TL = 90,00 TL KDV dahil (Motorobit ürün sayfasındaki güncel 37,50 TL + KDV/adet fiyatına göre; sipariş onayı ile henüz doğrulanmadı).</t>
  </si>
  <si>
    <t>Güncel Motorobit ürün sayfasında 37,50 TL + KDV/adet (=45,00 TL) listeleniyor. İki ek kart için 90,00 TL geçici tahmin; Motorobit sipariş e-postası/faturası olmadan kesinleşmiş tutar değildir.</t>
  </si>
  <si>
    <t>İki adet sonradan eklendiği bildirildi. Ek 90,00 TL tahmini Motorobit ve toplam çalışma harcamasına geçici olarak eklendi; sipariş teyidi/fatura bekleniyor.</t>
  </si>
  <si>
    <t>SZYTF INMP441 MEMS I²S çok yönlü mikrofon modülü</t>
  </si>
  <si>
    <t>363,23 TL (+%20 KDV)</t>
  </si>
  <si>
    <t>Direnç.net sipariş listesinde satır metni 363,23 TL (+%20 KDV) olarak aktarılmıştır; 3 × 121,08 TL birim fiyat aritmetiği 363,24 TL verir. Bu 0,01 TL satır farkının ayrıntılı nedeni mevcut özetten anlaşılamıyor. Gerçek harcama için Direnç.net genel toplamı 2.343,88 TL esas alınır.</t>
  </si>
  <si>
    <t>PUI DMM-4026-B-I2S-EB-R alınamadı. INMP441 üretici verisi: 24-bit I²S, 61 dBA tipik SNR, alt kesim 60 Hz; ürün durumu NRND. 20–60 Hz riski açıktır.</t>
  </si>
  <si>
    <t>Microchip MCP6022-I/P DIP-8 op-amp</t>
  </si>
  <si>
    <t>290,59 TL</t>
  </si>
  <si>
    <t>Kullanıcı sipariş özetinde satır tutarı 290,59 TL olarak aktarılmıştır; 5 × 58,12 TL birim fiyat aritmetiği 290,60 TL verir. Bu 0,01 TL satır farkının ayrıntılı nedeni mevcut özetten anlaşılamıyor. Gerçek harcama için Direnç.net genel toplamı 2.343,88 TL esas alınır.</t>
  </si>
  <si>
    <t>Analog ECM AFE için sipariş edildi; şema/kazanç/bias/filter henüz tasarlanıp test edilmeli.</t>
  </si>
  <si>
    <t>ESP32-S3 N16R8 WiFi Bluetooth Board (DSTK22852)</t>
  </si>
  <si>
    <t>1.017,06 TL (+%20 KDV)</t>
  </si>
  <si>
    <t>Satıcı liste fiyatı + KDV; genel sipariş toplamı harcama otoritesidir.</t>
  </si>
  <si>
    <t>2 adet satın alındı; N8R8 DevKitC-1 yerine N16R8 kartı kullanılacak. USB portları/pinout teslimde kontrol edilmeli.</t>
  </si>
  <si>
    <t>830 noktalı tekli breadboard</t>
  </si>
  <si>
    <t>92,02 TL (+%20 KDV)</t>
  </si>
  <si>
    <t>KDV/ara toplam gösterimi tedarikçi genel toplamından ayrıştırılamadı.</t>
  </si>
  <si>
    <t>2 adet sipariş edildi.</t>
  </si>
  <si>
    <t>40 adet erkek-erkek jumper kablo, 20 cm</t>
  </si>
  <si>
    <t>49,40 TL</t>
  </si>
  <si>
    <t>Satır tutarı metindeki haliyle aktarılmıştır.</t>
  </si>
  <si>
    <t>Bir set; Motorobit jumper kutusuyla tekrarları teslimde kontrol edilsin.</t>
  </si>
  <si>
    <t>Direnç.net — pasif R/C grubu (A-05)</t>
  </si>
  <si>
    <t>Pasif R/C grubu — dirençler ve kondansatörler</t>
  </si>
  <si>
    <t>Yaklaşık 140,56 TL — pasif direnç/kondansatör grubu için tek toplam; ayrı alt kalemlere bölünmeden kaydedildi.</t>
  </si>
  <si>
    <t>Yaklaşık 140,56 TL — pasif R/C grubu için toplu kayıt; ayrı tekil kalemlere bölünmedi.</t>
  </si>
  <si>
    <t>Kullanıcı talebiyle grup toplamı verilir; tek tek ürün linkleri eklenmemiştir. Yaklaşık tutar Direnç.net 2.343,88 TL genel toplamının içindedir ve ayrıca eklenmez.</t>
  </si>
  <si>
    <t>10K trimpot 3296</t>
  </si>
  <si>
    <t>17,44 TL</t>
  </si>
  <si>
    <t>Kullanıcı metnindeki kalem satırı.</t>
  </si>
  <si>
    <t>Motorobit 100K trimpotlardan farklı değerdir.</t>
  </si>
  <si>
    <t>11.60 mm 1×11 erkek pin header, 2.54 mm</t>
  </si>
  <si>
    <t>6,51 TL (+%20 KDV)</t>
  </si>
  <si>
    <t>3 adet sipariş edildi; gerçek aralık/yerleşim ihtiyaca göre kontrol edilmeli.</t>
  </si>
  <si>
    <t>8 pin DIP entegre soketi</t>
  </si>
  <si>
    <t>3,49 TL</t>
  </si>
  <si>
    <t>3 adet sipariş edildi.</t>
  </si>
  <si>
    <t>Stereo mikrofon kablosu, 1 m (sipariş özetindeki ad; mevcut eşleşen ilan ürün kodu DSTK2244)</t>
  </si>
  <si>
    <t>75,55 TL</t>
  </si>
  <si>
    <t>Direnç.net'ten 1 m stereo mikrofon kablosu sipariş edildiği bildirildi. Ürün adına uyan detay sayfası: https://www.direnc.net/stereo-mikrofon-kablosu (DSTK2244; 53,27 TL + KDV / 63,93 TL KDV dahil). Direnç.net kategori görünümünde aynı isimli kablo 75,55 TL KDV dahil listeleniyor: https://www.direnc.net/adjacent-shielded-cable . Kullanıcı sipariş özeti 75,55 TL'yi bildiriyor; kamuya açık liste görünümü farkı nedeniyle sipariş anındaki kesin SKU/fiyat fatura/e-posta ile doğrulanmalı. Kablo uçları/ekranı teslimde kontrol edilmeli.</t>
  </si>
  <si>
    <t>Farnell / SAMM</t>
  </si>
  <si>
    <t>Kingstate KECG2740PBJ electret microphone</t>
  </si>
  <si>
    <t>168,9674 TL (+KDV, ürün ara toplamı)</t>
  </si>
  <si>
    <t>Kargo 149,0012 TL + KDV; KDV 63,5937 TL; genel sipariş 381,56 TL.</t>
  </si>
  <si>
    <t>Sipariş #FS1228810; sipariş tarihi 16.10.2026; ödeme Ödendi (Credit Card). Başlangıçtaki 4 birim planının 2'si alındı; teslim tarihi/teslim alma doğrulanmadı.</t>
  </si>
  <si>
    <t>A-20 / fantom giriş</t>
  </si>
  <si>
    <t>Juo Stereo 3.5 mm TRS örgülü AUX kablosu, 1 m</t>
  </si>
  <si>
    <t>159,00 TL (KDV dahil)</t>
  </si>
  <si>
    <t>Kargo/paketleme 0 TL; Prime.</t>
  </si>
  <si>
    <t>Amazon.com.tr üzerinden sipariş edildi; ürün URL'si ürün modelini tanımlayan Juo üretici sayfasıdır. PC/telefon çıkışından PAM8403 girişine gider; ses kablosu USB veri kablosu değildir.</t>
  </si>
  <si>
    <t xml:space="preserve">TOPLAM SİPARİŞ HARCAMASI </t>
  </si>
  <si>
    <t>Açıklama: G7/G8 görüntülenen birim fiyat × adet hesabı 363,24/290,60 TL; Direnç.net özetinde A-03/A-04 satırları 363,23/290,59 TL bildirildiğinden satır bazında 0,01 TL fark vardır.
Harcama için Direnç.net genel toplamı 2.343,88 TL esas alınır. A-07/A-08 F11/F12 net birim fiyatları; G11/G12 KDV hariç ara toplamlardır.
. Pasif R/C 140,56 TL bu toplama dahildir.</t>
  </si>
  <si>
    <t>B-01-</t>
  </si>
  <si>
    <t>Delikli plaket</t>
  </si>
  <si>
    <t>2 adet 7x9 delikli plaket</t>
  </si>
  <si>
    <t xml:space="preserve">SİPARİŞ EDİLDİ: 2×7×9 cm plaket.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</si>
</sst>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TRY&quot;"/>
    <numFmt numFmtId="165" formatCode="#,##0.00\ &quot;TL&quot;"/>
    <numFmt numFmtId="166" formatCode="0.000"/>
    <numFmt numFmtId="167" formatCode="0.0000"/>
    <numFmt numFmtId="168" formatCode="#,##0.0000"/>
  </numFmts>
  <fonts count="23">
    <font>
      <sz val="11"/>
      <name val="Carlito"/>
    </font>
    <font>
      <b/>
      <sz val="14"/>
      <color rgb="FFFFFFFF"/>
      <name val="Carlito"/>
    </font>
    <font>
      <b/>
      <sz val="10"/>
      <color rgb="FFFFFFFF"/>
      <name val="Carlito"/>
    </font>
    <font>
      <sz val="10"/>
      <color rgb="FF1F1F1F"/>
      <name val="Carlito"/>
    </font>
    <font>
      <b/>
      <sz val="11"/>
      <color rgb="FFFFFFFF"/>
      <name val="Carlito"/>
    </font>
    <font>
      <b/>
      <sz val="10"/>
      <color rgb="FF1F1F1F"/>
      <name val="Carlito"/>
    </font>
    <font>
      <b/>
      <sz val="11"/>
      <color rgb="FF1F1F1F"/>
      <name val="Carlito"/>
    </font>
    <font>
      <sz val="11"/>
      <color rgb="FF1F1F1F"/>
      <name val="Carlito"/>
    </font>
    <font>
      <i/>
      <sz val="10"/>
      <color rgb="FF17324D"/>
      <name val="Carlito"/>
    </font>
    <font>
      <i/>
      <sz val="10"/>
      <color rgb="FF243746"/>
      <name val="Carlito"/>
    </font>
    <font>
      <b/>
      <sz val="11"/>
      <color rgb="FF243746"/>
      <name val="Carlito"/>
    </font>
    <font>
      <i/>
      <sz val="11"/>
      <color rgb="FF59420A"/>
      <name val="Carlito"/>
    </font>
    <font>
      <b/>
      <sz val="11"/>
      <color rgb="FF17324D"/>
      <name val="Carlito"/>
    </font>
    <font>
      <i/>
      <sz val="10"/>
      <color rgb="FF404040"/>
      <name val="Carlito"/>
    </font>
    <font>
      <sz val="10"/>
      <color rgb="FF17365D"/>
      <name val="Carlito"/>
    </font>
    <font>
      <b/>
      <sz val="10"/>
      <color rgb="FF17365D"/>
      <name val="Carlito"/>
    </font>
    <font>
      <sz val="10"/>
      <color rgb="FF7F6000"/>
      <name val="Carlito"/>
    </font>
    <font>
      <b/>
      <sz val="15"/>
      <color rgb="FFFFFFFF"/>
      <name val="Carlito"/>
    </font>
    <font>
      <b/>
      <sz val="11"/>
      <color rgb="FF163654"/>
      <name val="Carlito"/>
    </font>
    <font>
      <i/>
      <sz val="10"/>
      <color rgb="FF334155"/>
      <name val="Carlito"/>
    </font>
    <font>
      <b/>
      <sz val="10"/>
      <color rgb="FF1F2937"/>
      <name val="Carlito"/>
    </font>
    <font>
      <sz val="10"/>
      <color rgb="FF1F2937"/>
      <name val="Carlito"/>
    </font>
    <font>
      <b/>
      <sz val="11"/>
      <color rgb="FF17365D"/>
      <name val="Carlito"/>
    </font>
  </fonts>
  <fills count="37">
    <fill>
      <patternFill patternType="none"/>
    </fill>
    <fill>
      <patternFill patternType="gray125"/>
    </fill>
    <fill>
      <patternFill patternType="solid">
        <fgColor rgb="FFEAF3F8"/>
      </patternFill>
    </fill>
    <fill>
      <patternFill patternType="solid">
        <fgColor rgb="FF1F4E78"/>
      </patternFill>
    </fill>
    <fill>
      <patternFill patternType="solid">
        <fgColor rgb="FFE2F0D9"/>
      </patternFill>
    </fill>
    <fill>
      <patternFill patternType="solid">
        <fgColor rgb="FFD9EAF7"/>
      </patternFill>
    </fill>
    <fill>
      <patternFill patternType="solid">
        <fgColor rgb="FFFFF2CC"/>
      </patternFill>
    </fill>
    <fill>
      <patternFill patternType="solid">
        <fgColor rgb="FFE7E6E6"/>
      </patternFill>
    </fill>
    <fill>
      <patternFill patternType="solid">
        <fgColor rgb="FFF2F2F2"/>
      </patternFill>
    </fill>
    <fill>
      <patternFill patternType="solid">
        <fgColor rgb="FFDDEFF2"/>
      </patternFill>
    </fill>
    <fill>
      <patternFill patternType="solid">
        <fgColor rgb="FF16324F"/>
      </patternFill>
    </fill>
    <fill>
      <patternFill patternType="solid">
        <fgColor rgb="FFE2F0D9"/>
      </patternFill>
    </fill>
    <fill>
      <patternFill patternType="solid">
        <fgColor rgb="FFD9EAF7"/>
      </patternFill>
    </fill>
    <fill>
      <patternFill patternType="solid">
        <fgColor rgb="FFE7E6E6"/>
      </patternFill>
    </fill>
    <fill>
      <patternFill patternType="solid">
        <fgColor rgb="FF0B6B75"/>
      </patternFill>
    </fill>
    <fill>
      <patternFill patternType="solid">
        <fgColor rgb="FF17324D"/>
      </patternFill>
    </fill>
    <fill>
      <patternFill patternType="solid">
        <fgColor rgb="FFEAF0F5"/>
      </patternFill>
    </fill>
    <fill>
      <patternFill patternType="solid">
        <fgColor rgb="FF244967"/>
      </patternFill>
    </fill>
    <fill>
      <patternFill patternType="solid">
        <fgColor rgb="FFFFF4D6"/>
      </patternFill>
    </fill>
    <fill>
      <patternFill patternType="solid">
        <fgColor rgb="FFD9EAF7"/>
      </patternFill>
    </fill>
    <fill>
      <patternFill patternType="solid">
        <fgColor rgb="FF17365D"/>
      </patternFill>
    </fill>
    <fill>
      <patternFill patternType="solid">
        <fgColor rgb="FF1F4E78"/>
      </patternFill>
    </fill>
    <fill>
      <patternFill patternType="solid">
        <fgColor rgb="FF17365D"/>
      </patternFill>
    </fill>
    <fill>
      <patternFill patternType="solid">
        <fgColor rgb="FFD9EAF7"/>
      </patternFill>
    </fill>
    <fill>
      <patternFill patternType="solid">
        <fgColor rgb="FFEAF2F8"/>
      </patternFill>
    </fill>
    <fill>
      <patternFill patternType="solid">
        <fgColor rgb="FF4472C4"/>
      </patternFill>
    </fill>
    <fill>
      <patternFill patternType="solid">
        <fgColor rgb="FFFFF2CC"/>
      </patternFill>
    </fill>
    <fill>
      <patternFill patternType="solid">
        <fgColor rgb="FF163654"/>
      </patternFill>
    </fill>
    <fill>
      <patternFill patternType="solid">
        <fgColor rgb="FFEAF1F8"/>
      </patternFill>
    </fill>
    <fill>
      <patternFill patternType="solid">
        <fgColor rgb="FF24496B"/>
      </patternFill>
    </fill>
    <fill>
      <patternFill patternType="solid">
        <fgColor rgb="FFDDEBF7"/>
      </patternFill>
    </fill>
    <fill>
      <patternFill patternType="solid">
        <fgColor rgb="FF17365D"/>
      </patternFill>
    </fill>
    <fill>
      <patternFill patternType="solid">
        <fgColor rgb="FFEAF1F3"/>
      </patternFill>
    </fill>
    <fill>
      <patternFill patternType="solid">
        <fgColor rgb="FF24476A"/>
      </patternFill>
    </fill>
    <fill>
      <patternFill patternType="solid">
        <fgColor rgb="FFD9EAF7"/>
      </patternFill>
    </fill>
    <fill>
      <patternFill patternType="solid">
        <fgColor rgb="FFFFFFFF"/>
      </patternFill>
    </fill>
    <fill>
      <patternFill patternType="solid">
        <fgColor rgb="FFF3F6F9"/>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2">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2" fillId="10" borderId="0" xfId="0" applyFont="1" applyFill="1" applyAlignment="1">
      <alignment horizontal="center" vertical="center" wrapText="1"/>
    </xf>
    <xf numFmtId="0" fontId="0" fillId="0" borderId="0" xfId="0" applyAlignment="1">
      <alignment wrapText="1"/>
    </xf>
    <xf numFmtId="0" fontId="3" fillId="11" borderId="0" xfId="0" applyFont="1" applyFill="1" applyAlignment="1">
      <alignment vertical="top" wrapText="1"/>
    </xf>
    <xf numFmtId="0" fontId="0" fillId="11" borderId="0" xfId="0" applyFill="1" applyAlignment="1">
      <alignment wrapText="1"/>
    </xf>
    <xf numFmtId="0" fontId="3" fillId="12" borderId="0" xfId="0" applyFont="1" applyFill="1" applyAlignment="1">
      <alignment vertical="top" wrapText="1"/>
    </xf>
    <xf numFmtId="0" fontId="0" fillId="12" borderId="0" xfId="0" applyFill="1" applyAlignment="1">
      <alignment wrapText="1"/>
    </xf>
    <xf numFmtId="0" fontId="3" fillId="13" borderId="0" xfId="0" applyFont="1" applyFill="1" applyAlignment="1">
      <alignment vertical="top" wrapText="1"/>
    </xf>
    <xf numFmtId="0" fontId="0" fillId="13" borderId="0" xfId="0" applyFill="1" applyAlignment="1">
      <alignment wrapText="1"/>
    </xf>
    <xf numFmtId="0" fontId="2" fillId="0" borderId="0" xfId="0" applyFont="1" applyAlignment="1">
      <alignment horizontal="center" vertical="center" wrapText="1"/>
    </xf>
    <xf numFmtId="164" fontId="3" fillId="4" borderId="0" xfId="0" applyNumberFormat="1" applyFont="1" applyFill="1" applyAlignment="1">
      <alignment vertical="top" wrapText="1"/>
    </xf>
    <xf numFmtId="164" fontId="3" fillId="5" borderId="0" xfId="0" applyNumberFormat="1" applyFont="1" applyFill="1" applyAlignment="1">
      <alignment vertical="top" wrapText="1"/>
    </xf>
    <xf numFmtId="164" fontId="3" fillId="7" borderId="0" xfId="0" applyNumberFormat="1" applyFont="1" applyFill="1" applyAlignment="1">
      <alignment vertical="top" wrapText="1"/>
    </xf>
    <xf numFmtId="164" fontId="0" fillId="0" borderId="0" xfId="0" applyNumberFormat="1"/>
    <xf numFmtId="164" fontId="3" fillId="0" borderId="0" xfId="0" applyNumberFormat="1" applyFont="1" applyAlignment="1">
      <alignment vertical="top" wrapText="1"/>
    </xf>
    <xf numFmtId="164" fontId="0" fillId="0" borderId="0" xfId="0" applyNumberFormat="1" applyAlignment="1">
      <alignment wrapText="1"/>
    </xf>
    <xf numFmtId="0" fontId="4" fillId="17" borderId="0" xfId="0" applyFont="1" applyFill="1" applyAlignment="1">
      <alignment horizontal="center" vertical="center" wrapText="1"/>
    </xf>
    <xf numFmtId="0" fontId="0" fillId="0" borderId="0" xfId="0" applyAlignment="1">
      <alignment vertical="top" wrapText="1"/>
    </xf>
    <xf numFmtId="0" fontId="10" fillId="16" borderId="0" xfId="0" applyFont="1" applyFill="1" applyAlignment="1">
      <alignment vertical="center" wrapText="1"/>
    </xf>
    <xf numFmtId="165" fontId="0" fillId="0" borderId="0" xfId="0" applyNumberFormat="1" applyAlignment="1">
      <alignment vertical="top" wrapText="1"/>
    </xf>
    <xf numFmtId="0" fontId="6" fillId="2" borderId="0" xfId="0" applyFont="1" applyFill="1" applyAlignment="1">
      <alignment vertical="top" wrapText="1"/>
    </xf>
    <xf numFmtId="0" fontId="0" fillId="4" borderId="0" xfId="0" applyFill="1" applyAlignment="1">
      <alignment vertical="top" wrapText="1"/>
    </xf>
    <xf numFmtId="0" fontId="4" fillId="21" borderId="0" xfId="0" applyFont="1" applyFill="1" applyAlignment="1">
      <alignment horizontal="center" vertical="center" wrapText="1"/>
    </xf>
    <xf numFmtId="0" fontId="15" fillId="24" borderId="0" xfId="0" applyFont="1" applyFill="1" applyAlignment="1">
      <alignment vertical="center" wrapText="1"/>
    </xf>
    <xf numFmtId="0" fontId="2" fillId="25" borderId="0" xfId="0" applyFont="1" applyFill="1" applyAlignment="1">
      <alignment horizontal="center" vertical="center" wrapText="1"/>
    </xf>
    <xf numFmtId="166" fontId="0" fillId="0" borderId="0" xfId="0" applyNumberFormat="1" applyAlignment="1">
      <alignment vertical="top" wrapText="1"/>
    </xf>
    <xf numFmtId="167" fontId="0" fillId="0" borderId="0" xfId="0" applyNumberFormat="1" applyAlignment="1">
      <alignment vertical="top" wrapText="1"/>
    </xf>
    <xf numFmtId="9" fontId="0" fillId="0" borderId="0" xfId="0" applyNumberFormat="1" applyAlignment="1">
      <alignment vertical="top" wrapText="1"/>
    </xf>
    <xf numFmtId="4" fontId="0" fillId="0" borderId="0" xfId="0" applyNumberFormat="1" applyAlignment="1">
      <alignment vertical="top" wrapText="1"/>
    </xf>
    <xf numFmtId="168" fontId="15" fillId="24" borderId="0" xfId="0" applyNumberFormat="1" applyFont="1" applyFill="1" applyAlignment="1">
      <alignment vertical="center" wrapText="1"/>
    </xf>
    <xf numFmtId="9" fontId="15" fillId="24" borderId="0" xfId="0" applyNumberFormat="1" applyFont="1" applyFill="1" applyAlignment="1">
      <alignment vertical="center" wrapText="1"/>
    </xf>
    <xf numFmtId="0" fontId="17" fillId="27" borderId="0" xfId="0" applyFont="1" applyFill="1" applyAlignment="1">
      <alignment horizontal="center" vertical="center" wrapText="1"/>
    </xf>
    <xf numFmtId="0" fontId="9" fillId="28" borderId="0" xfId="0" applyFont="1" applyFill="1" applyAlignment="1">
      <alignment vertical="center" wrapText="1"/>
    </xf>
    <xf numFmtId="0" fontId="2" fillId="29" borderId="0" xfId="0" applyFont="1" applyFill="1" applyAlignment="1">
      <alignment horizontal="center" vertical="center" wrapText="1"/>
    </xf>
    <xf numFmtId="0" fontId="18" fillId="30" borderId="0" xfId="0" applyFont="1" applyFill="1" applyAlignment="1">
      <alignment vertical="center" wrapText="1"/>
    </xf>
    <xf numFmtId="165" fontId="0" fillId="0" borderId="0" xfId="0" applyNumberFormat="1" applyAlignment="1">
      <alignment wrapText="1"/>
    </xf>
    <xf numFmtId="165" fontId="18" fillId="30" borderId="0" xfId="0" applyNumberFormat="1" applyFont="1" applyFill="1" applyAlignment="1">
      <alignment vertical="center" wrapText="1"/>
    </xf>
    <xf numFmtId="0" fontId="2" fillId="33" borderId="0" xfId="0" applyFont="1" applyFill="1" applyAlignment="1">
      <alignment horizontal="center" vertical="center" wrapText="1"/>
    </xf>
    <xf numFmtId="0" fontId="22" fillId="34" borderId="1" xfId="0" applyFont="1" applyFill="1" applyBorder="1" applyAlignment="1">
      <alignment vertical="center" wrapText="1"/>
    </xf>
    <xf numFmtId="0" fontId="22" fillId="34" borderId="2" xfId="0" applyFont="1" applyFill="1" applyBorder="1" applyAlignment="1">
      <alignment vertical="center" wrapText="1"/>
    </xf>
    <xf numFmtId="0" fontId="20" fillId="35" borderId="4" xfId="0" applyFont="1" applyFill="1" applyBorder="1" applyAlignment="1">
      <alignment horizontal="left" vertical="center" wrapText="1"/>
    </xf>
    <xf numFmtId="0" fontId="20" fillId="35" borderId="5" xfId="0" applyFont="1" applyFill="1" applyBorder="1" applyAlignment="1">
      <alignment horizontal="left" vertical="center" wrapText="1"/>
    </xf>
    <xf numFmtId="165" fontId="20" fillId="35" borderId="6" xfId="0" applyNumberFormat="1" applyFont="1" applyFill="1" applyBorder="1" applyAlignment="1">
      <alignment horizontal="left" vertical="center" wrapText="1"/>
    </xf>
    <xf numFmtId="0" fontId="20" fillId="36" borderId="4" xfId="0" applyFont="1" applyFill="1" applyBorder="1" applyAlignment="1">
      <alignment horizontal="center" vertical="center" wrapText="1"/>
    </xf>
    <xf numFmtId="0" fontId="20" fillId="36" borderId="5" xfId="0" applyFont="1" applyFill="1" applyBorder="1" applyAlignment="1">
      <alignment horizontal="center" vertical="center" wrapText="1"/>
    </xf>
    <xf numFmtId="165" fontId="20" fillId="36" borderId="6" xfId="0" applyNumberFormat="1" applyFont="1" applyFill="1" applyBorder="1" applyAlignment="1">
      <alignment horizontal="center" vertical="center" wrapText="1"/>
    </xf>
    <xf numFmtId="0" fontId="21" fillId="35" borderId="4" xfId="0" applyFont="1" applyFill="1" applyBorder="1" applyAlignment="1">
      <alignment vertical="center" wrapText="1"/>
    </xf>
    <xf numFmtId="0" fontId="21" fillId="35" borderId="5" xfId="0" applyFont="1" applyFill="1" applyBorder="1" applyAlignment="1">
      <alignment vertical="center" wrapText="1"/>
    </xf>
    <xf numFmtId="165" fontId="21" fillId="35" borderId="6" xfId="0" applyNumberFormat="1" applyFont="1" applyFill="1" applyBorder="1" applyAlignment="1">
      <alignment vertical="center" wrapText="1"/>
    </xf>
    <xf numFmtId="0" fontId="21" fillId="36" borderId="4" xfId="0" applyFont="1" applyFill="1" applyBorder="1" applyAlignment="1">
      <alignment vertical="center" wrapText="1"/>
    </xf>
    <xf numFmtId="0" fontId="21" fillId="36" borderId="5" xfId="0" applyFont="1" applyFill="1" applyBorder="1" applyAlignment="1">
      <alignment vertical="center" wrapText="1"/>
    </xf>
    <xf numFmtId="165" fontId="21" fillId="36" borderId="6" xfId="0" applyNumberFormat="1" applyFont="1" applyFill="1" applyBorder="1" applyAlignment="1">
      <alignment vertical="center" wrapText="1"/>
    </xf>
    <xf numFmtId="165" fontId="6" fillId="4" borderId="0" xfId="0" applyNumberFormat="1" applyFont="1" applyFill="1" applyAlignment="1">
      <alignment wrapText="1"/>
    </xf>
    <xf numFmtId="165" fontId="22" fillId="5" borderId="3" xfId="0" applyNumberFormat="1" applyFont="1" applyFill="1" applyBorder="1" applyAlignment="1">
      <alignment vertical="center" wrapText="1"/>
    </xf>
    <xf numFmtId="49" fontId="3" fillId="0" borderId="0" xfId="0" applyNumberFormat="1" applyFont="1" applyAlignment="1">
      <alignment vertical="top" wrapText="1"/>
    </xf>
    <xf numFmtId="166" fontId="3" fillId="0" borderId="0" xfId="0" applyNumberFormat="1" applyFont="1" applyAlignment="1">
      <alignment vertical="top" wrapText="1"/>
    </xf>
    <xf numFmtId="4" fontId="3" fillId="0" borderId="0" xfId="0" applyNumberFormat="1" applyFont="1" applyAlignment="1">
      <alignment vertical="top" wrapText="1"/>
    </xf>
    <xf numFmtId="4" fontId="10" fillId="16" borderId="0" xfId="0" applyNumberFormat="1" applyFont="1" applyFill="1" applyAlignment="1">
      <alignment vertical="center" wrapText="1"/>
    </xf>
    <xf numFmtId="0" fontId="4" fillId="3" borderId="0" xfId="0" applyFont="1" applyFill="1" applyAlignment="1">
      <alignment horizontal="left" wrapText="1"/>
    </xf>
    <xf numFmtId="0" fontId="1" fillId="14" borderId="0" xfId="0" applyFont="1" applyFill="1" applyAlignment="1">
      <alignment horizontal="left" vertical="center" wrapText="1"/>
    </xf>
    <xf numFmtId="0" fontId="8" fillId="9" borderId="0" xfId="0" applyFont="1" applyFill="1" applyAlignment="1">
      <alignment horizontal="left" vertical="top" wrapText="1"/>
    </xf>
    <xf numFmtId="0" fontId="5" fillId="2" borderId="0" xfId="0" applyFont="1" applyFill="1" applyAlignment="1">
      <alignment horizontal="left" vertical="center" wrapText="1"/>
    </xf>
    <xf numFmtId="0" fontId="5" fillId="2" borderId="0" xfId="0" applyFont="1" applyFill="1" applyAlignment="1">
      <alignment wrapText="1"/>
    </xf>
    <xf numFmtId="0" fontId="5" fillId="6" borderId="0" xfId="0" applyFont="1" applyFill="1" applyAlignment="1">
      <alignment horizontal="left" vertical="center" wrapText="1"/>
    </xf>
    <xf numFmtId="0" fontId="5" fillId="6" borderId="0" xfId="0" applyFont="1" applyFill="1" applyAlignment="1">
      <alignment wrapText="1"/>
    </xf>
    <xf numFmtId="0" fontId="1" fillId="15" borderId="0" xfId="0" applyFont="1" applyFill="1" applyAlignment="1">
      <alignment horizontal="left" vertical="center" wrapText="1"/>
    </xf>
    <xf numFmtId="0" fontId="9" fillId="16" borderId="0" xfId="0" applyFont="1" applyFill="1" applyAlignment="1">
      <alignment horizontal="left" vertical="center" wrapText="1"/>
    </xf>
    <xf numFmtId="0" fontId="9" fillId="16" borderId="0" xfId="0" applyFont="1" applyFill="1" applyAlignment="1">
      <alignment vertical="center" wrapText="1"/>
    </xf>
    <xf numFmtId="0" fontId="6" fillId="2" borderId="0" xfId="0" applyFont="1" applyFill="1" applyAlignment="1">
      <alignment wrapText="1"/>
    </xf>
    <xf numFmtId="0" fontId="4" fillId="3" borderId="0" xfId="0" applyFont="1" applyFill="1" applyAlignment="1">
      <alignment wrapText="1"/>
    </xf>
    <xf numFmtId="0" fontId="7" fillId="8" borderId="0" xfId="0" applyFont="1" applyFill="1" applyAlignment="1">
      <alignment vertical="top" wrapText="1"/>
    </xf>
    <xf numFmtId="0" fontId="12" fillId="19" borderId="0" xfId="0" applyFont="1" applyFill="1" applyAlignment="1">
      <alignment vertical="center" wrapText="1"/>
    </xf>
    <xf numFmtId="0" fontId="4" fillId="3" borderId="0" xfId="0" applyFont="1" applyFill="1" applyAlignment="1">
      <alignment horizontal="right" wrapText="1"/>
    </xf>
    <xf numFmtId="164" fontId="4" fillId="3" borderId="0" xfId="0" applyNumberFormat="1" applyFont="1" applyFill="1" applyAlignment="1">
      <alignment horizontal="right" wrapText="1"/>
    </xf>
    <xf numFmtId="0" fontId="11" fillId="18" borderId="0" xfId="0" applyFont="1" applyFill="1" applyAlignment="1">
      <alignment vertical="top" wrapText="1"/>
    </xf>
    <xf numFmtId="0" fontId="1" fillId="20" borderId="0" xfId="0" applyFont="1" applyFill="1" applyAlignment="1">
      <alignment horizontal="left" vertical="center"/>
    </xf>
    <xf numFmtId="0" fontId="13" fillId="0" borderId="0" xfId="0" applyFont="1" applyAlignment="1">
      <alignment vertical="center" wrapText="1"/>
    </xf>
    <xf numFmtId="0" fontId="1" fillId="22" borderId="0" xfId="0" applyFont="1" applyFill="1" applyAlignment="1">
      <alignment horizontal="left" vertical="center" wrapText="1"/>
    </xf>
    <xf numFmtId="0" fontId="14" fillId="23" borderId="0" xfId="0" applyFont="1" applyFill="1" applyAlignment="1">
      <alignment vertical="center" wrapText="1"/>
    </xf>
    <xf numFmtId="0" fontId="15" fillId="24" borderId="0" xfId="0" applyFont="1" applyFill="1" applyAlignment="1">
      <alignment vertical="center" wrapText="1"/>
    </xf>
    <xf numFmtId="0" fontId="0" fillId="0" borderId="0" xfId="0"/>
    <xf numFmtId="0" fontId="16" fillId="26" borderId="0" xfId="0" applyFont="1" applyFill="1" applyAlignment="1">
      <alignment vertical="center" wrapText="1"/>
    </xf>
    <xf numFmtId="0" fontId="4" fillId="27" borderId="0" xfId="0" applyFont="1" applyFill="1" applyAlignment="1">
      <alignment horizontal="left" vertical="center" wrapText="1"/>
    </xf>
    <xf numFmtId="0" fontId="1" fillId="31" borderId="0" xfId="0" applyFont="1" applyFill="1" applyAlignment="1">
      <alignment horizontal="left" vertical="center" wrapText="1"/>
    </xf>
    <xf numFmtId="0" fontId="19" fillId="3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heetViews>
  <sheetFormatPr defaultRowHeight="14.25"/>
  <cols>
    <col min="1" max="1" width="24" customWidth="1"/>
    <col min="2" max="2" width="28" customWidth="1"/>
    <col min="3" max="3" width="70" customWidth="1"/>
    <col min="4" max="4" width="36" customWidth="1"/>
    <col min="5" max="8" width="18" customWidth="1"/>
  </cols>
  <sheetData>
    <row r="1" spans="1:4" ht="27.95" customHeight="1">
      <c r="A1" s="66" t="s">
        <v>915</v>
      </c>
      <c r="B1" s="66"/>
      <c r="C1" s="66"/>
      <c r="D1" s="66"/>
    </row>
    <row r="2" spans="1:4" ht="105" customHeight="1">
      <c r="A2" s="67" t="s">
        <v>916</v>
      </c>
      <c r="B2" s="67"/>
      <c r="C2" s="67"/>
      <c r="D2" s="67"/>
    </row>
    <row r="3" spans="1:4">
      <c r="A3" s="9"/>
      <c r="B3" s="9"/>
      <c r="C3" s="9"/>
      <c r="D3" s="9"/>
    </row>
    <row r="4" spans="1:4" ht="30" customHeight="1">
      <c r="A4" s="1" t="s">
        <v>0</v>
      </c>
      <c r="B4" s="1" t="s">
        <v>1</v>
      </c>
      <c r="C4" s="1" t="s">
        <v>2</v>
      </c>
      <c r="D4" s="9"/>
    </row>
    <row r="5" spans="1:4" ht="39.950000000000003" customHeight="1">
      <c r="A5" s="2" t="s">
        <v>3</v>
      </c>
      <c r="B5" s="2" t="s">
        <v>4</v>
      </c>
      <c r="C5" s="2" t="s">
        <v>5</v>
      </c>
      <c r="D5" s="9"/>
    </row>
    <row r="6" spans="1:4" ht="39.950000000000003" customHeight="1">
      <c r="A6" s="2" t="s">
        <v>6</v>
      </c>
      <c r="B6" s="2" t="s">
        <v>7</v>
      </c>
      <c r="C6" s="2" t="s">
        <v>917</v>
      </c>
      <c r="D6" s="9"/>
    </row>
    <row r="7" spans="1:4" ht="39.950000000000003" customHeight="1">
      <c r="A7" s="2" t="s">
        <v>8</v>
      </c>
      <c r="B7" s="2" t="s">
        <v>9</v>
      </c>
      <c r="C7" s="2" t="s">
        <v>10</v>
      </c>
      <c r="D7" s="9"/>
    </row>
    <row r="8" spans="1:4" ht="39.950000000000003" customHeight="1">
      <c r="A8" s="2" t="s">
        <v>11</v>
      </c>
      <c r="B8" s="2" t="s">
        <v>12</v>
      </c>
      <c r="C8" s="2" t="s">
        <v>13</v>
      </c>
      <c r="D8" s="9"/>
    </row>
    <row r="9" spans="1:4" ht="39.950000000000003" customHeight="1">
      <c r="A9" s="2" t="s">
        <v>14</v>
      </c>
      <c r="B9" s="2" t="s">
        <v>15</v>
      </c>
      <c r="C9" s="2" t="s">
        <v>16</v>
      </c>
      <c r="D9" s="9"/>
    </row>
    <row r="10" spans="1:4" ht="39.950000000000003" customHeight="1">
      <c r="A10" s="2" t="s">
        <v>17</v>
      </c>
      <c r="B10" s="2" t="s">
        <v>18</v>
      </c>
      <c r="C10" s="2" t="s">
        <v>19</v>
      </c>
      <c r="D10" s="9"/>
    </row>
    <row r="11" spans="1:4" ht="57">
      <c r="A11" s="9" t="s">
        <v>20</v>
      </c>
      <c r="B11" s="9" t="s">
        <v>918</v>
      </c>
      <c r="C11" s="9" t="s">
        <v>919</v>
      </c>
      <c r="D11" s="9"/>
    </row>
    <row r="12" spans="1:4" ht="15">
      <c r="A12" s="65" t="s">
        <v>21</v>
      </c>
      <c r="B12" s="65"/>
      <c r="C12" s="65"/>
      <c r="D12" s="65"/>
    </row>
    <row r="13" spans="1:4" ht="30" customHeight="1">
      <c r="A13" s="1" t="s">
        <v>22</v>
      </c>
      <c r="B13" s="1" t="s">
        <v>23</v>
      </c>
      <c r="C13" s="1" t="s">
        <v>24</v>
      </c>
      <c r="D13" s="1" t="s">
        <v>25</v>
      </c>
    </row>
    <row r="14" spans="1:4" ht="25.5">
      <c r="A14" s="3" t="s">
        <v>26</v>
      </c>
      <c r="B14" s="3" t="s">
        <v>27</v>
      </c>
      <c r="C14" s="3" t="s">
        <v>28</v>
      </c>
      <c r="D14" s="3" t="s">
        <v>29</v>
      </c>
    </row>
    <row r="15" spans="1:4">
      <c r="A15" s="4" t="s">
        <v>30</v>
      </c>
      <c r="B15" s="4" t="s">
        <v>31</v>
      </c>
      <c r="C15" s="4" t="s">
        <v>32</v>
      </c>
      <c r="D15" s="4" t="s">
        <v>33</v>
      </c>
    </row>
    <row r="16" spans="1:4" ht="25.5">
      <c r="A16" s="5" t="s">
        <v>34</v>
      </c>
      <c r="B16" s="5" t="s">
        <v>35</v>
      </c>
      <c r="C16" s="5" t="s">
        <v>36</v>
      </c>
      <c r="D16" s="5" t="s">
        <v>37</v>
      </c>
    </row>
    <row r="17" spans="1:4" ht="25.5">
      <c r="A17" s="6" t="s">
        <v>38</v>
      </c>
      <c r="B17" s="6" t="s">
        <v>39</v>
      </c>
      <c r="C17" s="6" t="s">
        <v>40</v>
      </c>
      <c r="D17" s="6" t="s">
        <v>41</v>
      </c>
    </row>
    <row r="18" spans="1:4">
      <c r="A18" s="9"/>
      <c r="B18" s="9"/>
      <c r="C18" s="9"/>
      <c r="D18" s="9"/>
    </row>
    <row r="19" spans="1:4" ht="15">
      <c r="A19" s="65" t="s">
        <v>42</v>
      </c>
      <c r="B19" s="65"/>
      <c r="C19" s="65"/>
      <c r="D19" s="65"/>
    </row>
    <row r="20" spans="1:4" ht="30" customHeight="1">
      <c r="A20" s="1" t="s">
        <v>43</v>
      </c>
      <c r="B20" s="1" t="s">
        <v>44</v>
      </c>
      <c r="C20" s="1" t="s">
        <v>45</v>
      </c>
      <c r="D20" s="9"/>
    </row>
    <row r="21" spans="1:4" ht="38.1" customHeight="1">
      <c r="A21" s="2">
        <v>1</v>
      </c>
      <c r="B21" s="2" t="s">
        <v>46</v>
      </c>
      <c r="C21" s="2" t="s">
        <v>47</v>
      </c>
      <c r="D21" s="9"/>
    </row>
    <row r="22" spans="1:4" ht="38.1" customHeight="1">
      <c r="A22" s="2">
        <v>2</v>
      </c>
      <c r="B22" s="2" t="s">
        <v>48</v>
      </c>
      <c r="C22" s="2" t="s">
        <v>49</v>
      </c>
      <c r="D22" s="9"/>
    </row>
    <row r="23" spans="1:4" ht="38.1" customHeight="1">
      <c r="A23" s="2">
        <v>3</v>
      </c>
      <c r="B23" s="2" t="s">
        <v>50</v>
      </c>
      <c r="C23" s="2" t="s">
        <v>51</v>
      </c>
      <c r="D23" s="9"/>
    </row>
    <row r="24" spans="1:4" ht="38.1" customHeight="1">
      <c r="A24" s="2">
        <v>4</v>
      </c>
      <c r="B24" s="2" t="s">
        <v>52</v>
      </c>
      <c r="C24" s="2" t="s">
        <v>53</v>
      </c>
      <c r="D24" s="9"/>
    </row>
    <row r="25" spans="1:4" ht="38.1" customHeight="1">
      <c r="A25" s="2">
        <v>5</v>
      </c>
      <c r="B25" s="2" t="s">
        <v>54</v>
      </c>
      <c r="C25" s="2" t="s">
        <v>55</v>
      </c>
      <c r="D25" s="9"/>
    </row>
    <row r="26" spans="1:4" ht="138" customHeight="1">
      <c r="A26" s="24" t="s">
        <v>56</v>
      </c>
      <c r="B26" s="24" t="s">
        <v>57</v>
      </c>
      <c r="C26" s="24" t="s">
        <v>920</v>
      </c>
      <c r="D26" s="24"/>
    </row>
    <row r="27" spans="1:4">
      <c r="A27" s="16"/>
      <c r="B27" s="16"/>
      <c r="C27" s="16"/>
      <c r="D27" s="9"/>
    </row>
    <row r="28" spans="1:4">
      <c r="A28" s="9"/>
      <c r="B28" s="9"/>
      <c r="C28" s="9"/>
      <c r="D28" s="9"/>
    </row>
    <row r="29" spans="1:4">
      <c r="A29" s="9"/>
      <c r="B29" s="9"/>
      <c r="C29" s="9"/>
      <c r="D29" s="9"/>
    </row>
    <row r="30" spans="1:4">
      <c r="A30" s="9"/>
      <c r="B30" s="9"/>
      <c r="C30" s="9"/>
      <c r="D30" s="9"/>
    </row>
  </sheetData>
  <mergeCells count="4">
    <mergeCell ref="A12:D12"/>
    <mergeCell ref="A19:D19"/>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
  <sheetViews>
    <sheetView tabSelected="1" topLeftCell="A12" workbookViewId="0">
      <selection activeCell="M18" sqref="M18"/>
    </sheetView>
  </sheetViews>
  <sheetFormatPr defaultRowHeight="14.25"/>
  <cols>
    <col min="1" max="1" width="12" customWidth="1"/>
    <col min="2" max="2" width="15" customWidth="1"/>
    <col min="3" max="3" width="18" customWidth="1"/>
    <col min="4" max="4" width="28" customWidth="1"/>
    <col min="5" max="5" width="35" customWidth="1"/>
    <col min="6" max="6" width="24" customWidth="1"/>
    <col min="7" max="7" width="44" customWidth="1"/>
    <col min="8" max="8" width="9" customWidth="1"/>
    <col min="9" max="10" width="16" customWidth="1"/>
    <col min="11" max="11" width="32" customWidth="1"/>
    <col min="12" max="12" width="30" customWidth="1"/>
    <col min="13" max="13" width="34" customWidth="1"/>
    <col min="14" max="14" width="42" customWidth="1"/>
    <col min="15" max="15" width="27" customWidth="1"/>
    <col min="16" max="16" width="65" customWidth="1"/>
  </cols>
  <sheetData>
    <row r="1" spans="1:16" ht="27.95" customHeight="1">
      <c r="A1" s="72" t="s">
        <v>921</v>
      </c>
      <c r="B1" s="72"/>
      <c r="C1" s="72"/>
      <c r="D1" s="72"/>
      <c r="E1" s="72"/>
      <c r="F1" s="72"/>
      <c r="G1" s="72"/>
      <c r="H1" s="72"/>
      <c r="I1" s="72"/>
      <c r="J1" s="72"/>
      <c r="K1" s="72"/>
      <c r="L1" s="72"/>
      <c r="M1" s="72"/>
      <c r="N1" s="72"/>
      <c r="O1" s="72"/>
      <c r="P1" s="72"/>
    </row>
    <row r="2" spans="1:16" ht="33.950000000000003" customHeight="1">
      <c r="A2" s="73" t="s">
        <v>922</v>
      </c>
      <c r="B2" s="74"/>
      <c r="C2" s="74"/>
      <c r="D2" s="74"/>
      <c r="E2" s="74"/>
      <c r="F2" s="74"/>
      <c r="G2" s="74"/>
      <c r="H2" s="74"/>
      <c r="I2" s="74"/>
      <c r="J2" s="74"/>
      <c r="K2" s="74"/>
      <c r="L2" s="74"/>
      <c r="M2" s="74"/>
      <c r="N2" s="74"/>
      <c r="O2" s="74"/>
      <c r="P2" s="74"/>
    </row>
    <row r="4" spans="1:16" ht="30" customHeight="1">
      <c r="A4" s="8" t="s">
        <v>58</v>
      </c>
      <c r="B4" s="8" t="s">
        <v>59</v>
      </c>
      <c r="C4" s="8" t="s">
        <v>60</v>
      </c>
      <c r="D4" s="8" t="s">
        <v>61</v>
      </c>
      <c r="E4" s="8" t="s">
        <v>62</v>
      </c>
      <c r="F4" s="8" t="s">
        <v>63</v>
      </c>
      <c r="G4" s="8" t="s">
        <v>64</v>
      </c>
      <c r="H4" s="8" t="s">
        <v>65</v>
      </c>
      <c r="I4" s="8" t="s">
        <v>923</v>
      </c>
      <c r="J4" s="8" t="s">
        <v>924</v>
      </c>
      <c r="K4" s="8" t="s">
        <v>66</v>
      </c>
      <c r="L4" s="8" t="s">
        <v>67</v>
      </c>
      <c r="M4" s="8" t="s">
        <v>68</v>
      </c>
      <c r="N4" s="8" t="s">
        <v>69</v>
      </c>
      <c r="O4" s="8" t="s">
        <v>70</v>
      </c>
      <c r="P4" s="8" t="s">
        <v>71</v>
      </c>
    </row>
    <row r="5" spans="1:16" ht="44.1" customHeight="1">
      <c r="A5" s="10" t="s">
        <v>72</v>
      </c>
      <c r="B5" s="10" t="s">
        <v>73</v>
      </c>
      <c r="C5" s="10" t="s">
        <v>74</v>
      </c>
      <c r="D5" s="10" t="s">
        <v>75</v>
      </c>
      <c r="E5" s="10" t="s">
        <v>76</v>
      </c>
      <c r="F5" s="10" t="s">
        <v>77</v>
      </c>
      <c r="G5" s="10" t="s">
        <v>78</v>
      </c>
      <c r="H5" s="10">
        <v>1</v>
      </c>
      <c r="I5" s="17">
        <v>679.99</v>
      </c>
      <c r="J5" s="17">
        <f t="shared" ref="J5:J16" si="0">H5*I5</f>
        <v>679.99</v>
      </c>
      <c r="K5" s="10" t="s">
        <v>79</v>
      </c>
      <c r="L5" s="10" t="s">
        <v>80</v>
      </c>
      <c r="M5" s="11" t="s">
        <v>81</v>
      </c>
      <c r="N5" s="11" t="s">
        <v>82</v>
      </c>
      <c r="O5" s="11" t="s">
        <v>83</v>
      </c>
      <c r="P5" s="11" t="s">
        <v>84</v>
      </c>
    </row>
    <row r="6" spans="1:16" ht="44.1" customHeight="1">
      <c r="A6" s="10" t="s">
        <v>85</v>
      </c>
      <c r="B6" s="10" t="s">
        <v>73</v>
      </c>
      <c r="C6" s="10" t="s">
        <v>74</v>
      </c>
      <c r="D6" s="10" t="s">
        <v>86</v>
      </c>
      <c r="E6" s="10" t="s">
        <v>925</v>
      </c>
      <c r="F6" s="10" t="s">
        <v>926</v>
      </c>
      <c r="G6" s="10" t="s">
        <v>361</v>
      </c>
      <c r="H6" s="10">
        <v>2</v>
      </c>
      <c r="I6" s="17">
        <v>84.483699999999999</v>
      </c>
      <c r="J6" s="17">
        <f t="shared" si="0"/>
        <v>168.9674</v>
      </c>
      <c r="K6" s="10" t="s">
        <v>927</v>
      </c>
      <c r="L6" s="10" t="s">
        <v>928</v>
      </c>
      <c r="M6" s="11" t="s">
        <v>87</v>
      </c>
      <c r="N6" s="11" t="s">
        <v>88</v>
      </c>
      <c r="O6" s="11" t="s">
        <v>929</v>
      </c>
      <c r="P6" s="11" t="s">
        <v>930</v>
      </c>
    </row>
    <row r="7" spans="1:16" ht="114.95" customHeight="1">
      <c r="A7" s="3" t="s">
        <v>89</v>
      </c>
      <c r="B7" s="3" t="s">
        <v>73</v>
      </c>
      <c r="C7" s="3" t="s">
        <v>90</v>
      </c>
      <c r="D7" s="3" t="s">
        <v>931</v>
      </c>
      <c r="E7" s="3" t="s">
        <v>932</v>
      </c>
      <c r="F7" s="3" t="s">
        <v>933</v>
      </c>
      <c r="G7" s="3" t="s">
        <v>934</v>
      </c>
      <c r="H7" s="3">
        <v>3</v>
      </c>
      <c r="I7" s="17">
        <v>121.08</v>
      </c>
      <c r="J7" s="17">
        <f t="shared" si="0"/>
        <v>363.24</v>
      </c>
      <c r="K7" s="3" t="s">
        <v>935</v>
      </c>
      <c r="L7" s="3" t="s">
        <v>936</v>
      </c>
      <c r="M7" s="28" t="s">
        <v>91</v>
      </c>
      <c r="N7" s="28" t="s">
        <v>92</v>
      </c>
      <c r="O7" s="28" t="s">
        <v>93</v>
      </c>
      <c r="P7" s="28" t="s">
        <v>937</v>
      </c>
    </row>
    <row r="8" spans="1:16" ht="44.1" customHeight="1">
      <c r="A8" s="10" t="s">
        <v>94</v>
      </c>
      <c r="B8" s="10" t="s">
        <v>73</v>
      </c>
      <c r="C8" s="10" t="s">
        <v>74</v>
      </c>
      <c r="D8" s="10" t="s">
        <v>95</v>
      </c>
      <c r="E8" s="10" t="s">
        <v>96</v>
      </c>
      <c r="F8" s="10" t="s">
        <v>97</v>
      </c>
      <c r="G8" s="10" t="s">
        <v>98</v>
      </c>
      <c r="H8" s="10">
        <v>5</v>
      </c>
      <c r="I8" s="17">
        <v>58.12</v>
      </c>
      <c r="J8" s="17">
        <f t="shared" si="0"/>
        <v>290.59999999999997</v>
      </c>
      <c r="K8" s="10" t="s">
        <v>938</v>
      </c>
      <c r="L8" s="10" t="s">
        <v>80</v>
      </c>
      <c r="M8" s="11" t="s">
        <v>99</v>
      </c>
      <c r="N8" s="11" t="s">
        <v>100</v>
      </c>
      <c r="O8" s="11" t="s">
        <v>101</v>
      </c>
      <c r="P8" s="11" t="s">
        <v>939</v>
      </c>
    </row>
    <row r="9" spans="1:16" ht="44.1" customHeight="1">
      <c r="A9" s="10" t="s">
        <v>102</v>
      </c>
      <c r="B9" s="10" t="s">
        <v>73</v>
      </c>
      <c r="C9" s="10" t="s">
        <v>74</v>
      </c>
      <c r="D9" s="10" t="s">
        <v>103</v>
      </c>
      <c r="E9" s="10" t="s">
        <v>940</v>
      </c>
      <c r="F9" s="10" t="s">
        <v>933</v>
      </c>
      <c r="G9" s="10"/>
      <c r="H9" s="10">
        <v>1</v>
      </c>
      <c r="I9" s="17">
        <v>140.56</v>
      </c>
      <c r="J9" s="17">
        <f t="shared" si="0"/>
        <v>140.56</v>
      </c>
      <c r="K9" s="10" t="s">
        <v>941</v>
      </c>
      <c r="L9" s="10" t="s">
        <v>942</v>
      </c>
      <c r="M9" s="11" t="s">
        <v>943</v>
      </c>
      <c r="N9" s="11"/>
      <c r="O9" s="11" t="s">
        <v>944</v>
      </c>
      <c r="P9" s="11" t="s">
        <v>945</v>
      </c>
    </row>
    <row r="10" spans="1:16" ht="44.1" customHeight="1">
      <c r="A10" s="10" t="s">
        <v>104</v>
      </c>
      <c r="B10" s="10" t="s">
        <v>73</v>
      </c>
      <c r="C10" s="10" t="s">
        <v>74</v>
      </c>
      <c r="D10" s="10" t="s">
        <v>105</v>
      </c>
      <c r="E10" s="10" t="s">
        <v>946</v>
      </c>
      <c r="F10" s="10" t="s">
        <v>933</v>
      </c>
      <c r="G10" s="10" t="s">
        <v>947</v>
      </c>
      <c r="H10" s="10">
        <v>2</v>
      </c>
      <c r="I10" s="17">
        <v>508.53</v>
      </c>
      <c r="J10" s="17">
        <f t="shared" si="0"/>
        <v>1017.06</v>
      </c>
      <c r="K10" s="10" t="s">
        <v>948</v>
      </c>
      <c r="L10" s="10" t="s">
        <v>949</v>
      </c>
      <c r="M10" s="11" t="s">
        <v>950</v>
      </c>
      <c r="N10" s="11"/>
      <c r="O10" s="11" t="s">
        <v>951</v>
      </c>
      <c r="P10" s="11" t="s">
        <v>952</v>
      </c>
    </row>
    <row r="11" spans="1:16" ht="44.1" customHeight="1">
      <c r="A11" s="10" t="s">
        <v>106</v>
      </c>
      <c r="B11" s="10" t="s">
        <v>73</v>
      </c>
      <c r="C11" s="10" t="s">
        <v>74</v>
      </c>
      <c r="D11" s="10" t="s">
        <v>107</v>
      </c>
      <c r="E11" s="10" t="s">
        <v>108</v>
      </c>
      <c r="F11" s="10" t="s">
        <v>109</v>
      </c>
      <c r="G11" s="10" t="s">
        <v>110</v>
      </c>
      <c r="H11" s="10">
        <v>2</v>
      </c>
      <c r="I11" s="17">
        <v>106.05</v>
      </c>
      <c r="J11" s="17">
        <f t="shared" si="0"/>
        <v>212.1</v>
      </c>
      <c r="K11" s="10" t="s">
        <v>953</v>
      </c>
      <c r="L11" s="10" t="s">
        <v>954</v>
      </c>
      <c r="M11" s="11" t="s">
        <v>111</v>
      </c>
      <c r="N11" s="11" t="s">
        <v>112</v>
      </c>
      <c r="O11" s="11" t="s">
        <v>955</v>
      </c>
      <c r="P11" s="11" t="s">
        <v>956</v>
      </c>
    </row>
    <row r="12" spans="1:16" ht="63.95" customHeight="1">
      <c r="A12" s="10" t="s">
        <v>113</v>
      </c>
      <c r="B12" s="10" t="s">
        <v>73</v>
      </c>
      <c r="C12" s="10" t="s">
        <v>74</v>
      </c>
      <c r="D12" s="10" t="s">
        <v>114</v>
      </c>
      <c r="E12" s="10" t="s">
        <v>957</v>
      </c>
      <c r="F12" s="10" t="s">
        <v>109</v>
      </c>
      <c r="G12" s="10" t="s">
        <v>958</v>
      </c>
      <c r="H12" s="10">
        <v>4</v>
      </c>
      <c r="I12" s="17">
        <v>21.21</v>
      </c>
      <c r="J12" s="17">
        <f t="shared" si="0"/>
        <v>84.84</v>
      </c>
      <c r="K12" s="3" t="s">
        <v>959</v>
      </c>
      <c r="L12" s="10" t="s">
        <v>954</v>
      </c>
      <c r="M12" s="11" t="s">
        <v>115</v>
      </c>
      <c r="N12" s="11" t="s">
        <v>116</v>
      </c>
      <c r="O12" s="11" t="s">
        <v>960</v>
      </c>
      <c r="P12" s="11" t="s">
        <v>961</v>
      </c>
    </row>
    <row r="13" spans="1:16" ht="44.1" customHeight="1">
      <c r="A13" s="10" t="s">
        <v>117</v>
      </c>
      <c r="B13" s="10" t="s">
        <v>73</v>
      </c>
      <c r="C13" s="10" t="s">
        <v>74</v>
      </c>
      <c r="D13" s="10" t="s">
        <v>118</v>
      </c>
      <c r="E13" s="10" t="s">
        <v>119</v>
      </c>
      <c r="F13" s="10" t="s">
        <v>120</v>
      </c>
      <c r="G13" s="10" t="s">
        <v>121</v>
      </c>
      <c r="H13" s="10">
        <v>1</v>
      </c>
      <c r="I13" s="17">
        <v>1173</v>
      </c>
      <c r="J13" s="17">
        <f t="shared" si="0"/>
        <v>1173</v>
      </c>
      <c r="K13" s="10" t="s">
        <v>122</v>
      </c>
      <c r="L13" s="10" t="s">
        <v>123</v>
      </c>
      <c r="M13" s="11" t="s">
        <v>124</v>
      </c>
      <c r="N13" s="11" t="s">
        <v>125</v>
      </c>
      <c r="O13" s="11" t="s">
        <v>126</v>
      </c>
      <c r="P13" s="11" t="s">
        <v>127</v>
      </c>
    </row>
    <row r="14" spans="1:16" ht="44.1" customHeight="1">
      <c r="A14" s="10" t="s">
        <v>128</v>
      </c>
      <c r="B14" s="10" t="s">
        <v>73</v>
      </c>
      <c r="C14" s="10" t="s">
        <v>74</v>
      </c>
      <c r="D14" s="10" t="s">
        <v>129</v>
      </c>
      <c r="E14" s="10" t="s">
        <v>130</v>
      </c>
      <c r="F14" s="10" t="s">
        <v>131</v>
      </c>
      <c r="G14" s="10" t="s">
        <v>132</v>
      </c>
      <c r="H14" s="10">
        <v>1</v>
      </c>
      <c r="I14" s="17">
        <v>349</v>
      </c>
      <c r="J14" s="17">
        <f t="shared" si="0"/>
        <v>349</v>
      </c>
      <c r="K14" s="10" t="s">
        <v>133</v>
      </c>
      <c r="L14" s="10" t="s">
        <v>134</v>
      </c>
      <c r="M14" s="11" t="s">
        <v>135</v>
      </c>
      <c r="N14" s="11" t="s">
        <v>136</v>
      </c>
      <c r="O14" s="11" t="s">
        <v>137</v>
      </c>
      <c r="P14" s="11" t="s">
        <v>138</v>
      </c>
    </row>
    <row r="15" spans="1:16" ht="44.1" customHeight="1">
      <c r="A15" s="10" t="s">
        <v>139</v>
      </c>
      <c r="B15" s="10" t="s">
        <v>73</v>
      </c>
      <c r="C15" s="10" t="s">
        <v>74</v>
      </c>
      <c r="D15" s="10" t="s">
        <v>140</v>
      </c>
      <c r="E15" s="10" t="s">
        <v>962</v>
      </c>
      <c r="F15" s="10" t="s">
        <v>963</v>
      </c>
      <c r="G15" s="10"/>
      <c r="H15" s="10">
        <v>1</v>
      </c>
      <c r="I15" s="17"/>
      <c r="J15" s="17">
        <f t="shared" si="0"/>
        <v>0</v>
      </c>
      <c r="K15" s="10" t="s">
        <v>964</v>
      </c>
      <c r="L15" s="10" t="s">
        <v>965</v>
      </c>
      <c r="M15" s="11" t="s">
        <v>141</v>
      </c>
      <c r="N15" s="11" t="s">
        <v>142</v>
      </c>
      <c r="O15" s="11" t="s">
        <v>143</v>
      </c>
      <c r="P15" s="11" t="s">
        <v>966</v>
      </c>
    </row>
    <row r="16" spans="1:16" ht="44.1" customHeight="1">
      <c r="A16" s="10" t="s">
        <v>144</v>
      </c>
      <c r="B16" s="10" t="s">
        <v>73</v>
      </c>
      <c r="C16" s="10" t="s">
        <v>74</v>
      </c>
      <c r="D16" s="10" t="s">
        <v>967</v>
      </c>
      <c r="E16" s="10" t="s">
        <v>968</v>
      </c>
      <c r="F16" s="10" t="s">
        <v>933</v>
      </c>
      <c r="G16" s="10" t="s">
        <v>969</v>
      </c>
      <c r="H16" s="10">
        <v>1</v>
      </c>
      <c r="I16" s="17">
        <v>75.55</v>
      </c>
      <c r="J16" s="17">
        <f t="shared" si="0"/>
        <v>75.55</v>
      </c>
      <c r="K16" s="10" t="s">
        <v>970</v>
      </c>
      <c r="L16" s="10" t="s">
        <v>971</v>
      </c>
      <c r="M16" s="11" t="s">
        <v>145</v>
      </c>
      <c r="N16" s="11" t="s">
        <v>146</v>
      </c>
      <c r="O16" s="11" t="s">
        <v>972</v>
      </c>
      <c r="P16" s="11" t="s">
        <v>973</v>
      </c>
    </row>
    <row r="17" spans="1:16" ht="44.1" customHeight="1">
      <c r="A17" s="12" t="s">
        <v>147</v>
      </c>
      <c r="B17" s="12" t="s">
        <v>148</v>
      </c>
      <c r="C17" s="12" t="s">
        <v>149</v>
      </c>
      <c r="D17" s="12" t="s">
        <v>150</v>
      </c>
      <c r="E17" s="12" t="s">
        <v>1420</v>
      </c>
      <c r="F17" s="12" t="s">
        <v>109</v>
      </c>
      <c r="G17" s="12"/>
      <c r="H17" s="12">
        <v>3</v>
      </c>
      <c r="I17" s="18"/>
      <c r="J17" s="18"/>
      <c r="K17" s="12" t="s">
        <v>1421</v>
      </c>
      <c r="L17" s="12" t="s">
        <v>974</v>
      </c>
      <c r="M17" s="13" t="s">
        <v>151</v>
      </c>
      <c r="N17" s="13"/>
      <c r="O17" s="13" t="s">
        <v>975</v>
      </c>
      <c r="P17" s="13" t="s">
        <v>976</v>
      </c>
    </row>
    <row r="18" spans="1:16" ht="44.1" customHeight="1">
      <c r="A18" s="12" t="s">
        <v>152</v>
      </c>
      <c r="B18" s="12" t="s">
        <v>148</v>
      </c>
      <c r="C18" s="12" t="s">
        <v>149</v>
      </c>
      <c r="D18" s="12" t="s">
        <v>153</v>
      </c>
      <c r="E18" s="12" t="s">
        <v>154</v>
      </c>
      <c r="F18" s="12" t="s">
        <v>155</v>
      </c>
      <c r="G18" s="12"/>
      <c r="H18" s="12">
        <v>1</v>
      </c>
      <c r="I18" s="18"/>
      <c r="J18" s="18"/>
      <c r="K18" s="12" t="s">
        <v>156</v>
      </c>
      <c r="L18" s="12" t="s">
        <v>32</v>
      </c>
      <c r="M18" s="13" t="s">
        <v>151</v>
      </c>
      <c r="N18" s="13"/>
      <c r="O18" s="13" t="s">
        <v>32</v>
      </c>
      <c r="P18" s="13" t="s">
        <v>157</v>
      </c>
    </row>
    <row r="19" spans="1:16" ht="44.1" customHeight="1">
      <c r="A19" s="12" t="s">
        <v>158</v>
      </c>
      <c r="B19" s="12" t="s">
        <v>148</v>
      </c>
      <c r="C19" s="12" t="s">
        <v>149</v>
      </c>
      <c r="D19" s="12" t="s">
        <v>159</v>
      </c>
      <c r="E19" s="12" t="s">
        <v>160</v>
      </c>
      <c r="F19" s="12" t="s">
        <v>155</v>
      </c>
      <c r="G19" s="12"/>
      <c r="H19" s="12">
        <v>3</v>
      </c>
      <c r="I19" s="18"/>
      <c r="J19" s="18"/>
      <c r="K19" s="12" t="s">
        <v>156</v>
      </c>
      <c r="L19" s="12" t="s">
        <v>32</v>
      </c>
      <c r="M19" s="13" t="s">
        <v>151</v>
      </c>
      <c r="N19" s="13"/>
      <c r="O19" s="13" t="s">
        <v>32</v>
      </c>
      <c r="P19" s="13" t="s">
        <v>161</v>
      </c>
    </row>
    <row r="20" spans="1:16" ht="44.1" customHeight="1">
      <c r="A20" s="12" t="s">
        <v>162</v>
      </c>
      <c r="B20" s="12" t="s">
        <v>148</v>
      </c>
      <c r="C20" s="12" t="s">
        <v>149</v>
      </c>
      <c r="D20" s="12" t="s">
        <v>163</v>
      </c>
      <c r="E20" s="12" t="s">
        <v>164</v>
      </c>
      <c r="F20" s="12" t="s">
        <v>151</v>
      </c>
      <c r="G20" s="12"/>
      <c r="H20" s="12">
        <v>1</v>
      </c>
      <c r="I20" s="18"/>
      <c r="J20" s="18"/>
      <c r="K20" s="12" t="s">
        <v>165</v>
      </c>
      <c r="L20" s="12" t="s">
        <v>166</v>
      </c>
      <c r="M20" s="13" t="s">
        <v>151</v>
      </c>
      <c r="N20" s="13"/>
      <c r="O20" s="13" t="s">
        <v>167</v>
      </c>
      <c r="P20" s="13" t="s">
        <v>168</v>
      </c>
    </row>
    <row r="21" spans="1:16" ht="44.1" customHeight="1">
      <c r="A21" s="12" t="s">
        <v>169</v>
      </c>
      <c r="B21" s="12" t="s">
        <v>148</v>
      </c>
      <c r="C21" s="12" t="s">
        <v>149</v>
      </c>
      <c r="D21" s="12" t="s">
        <v>170</v>
      </c>
      <c r="E21" s="12" t="s">
        <v>171</v>
      </c>
      <c r="F21" s="12" t="s">
        <v>151</v>
      </c>
      <c r="G21" s="12"/>
      <c r="H21" s="12"/>
      <c r="I21" s="18"/>
      <c r="J21" s="18"/>
      <c r="K21" s="12" t="s">
        <v>165</v>
      </c>
      <c r="L21" s="12" t="s">
        <v>172</v>
      </c>
      <c r="M21" s="13" t="s">
        <v>151</v>
      </c>
      <c r="N21" s="13"/>
      <c r="O21" s="13" t="s">
        <v>173</v>
      </c>
      <c r="P21" s="13" t="s">
        <v>174</v>
      </c>
    </row>
    <row r="22" spans="1:16" ht="44.1" customHeight="1">
      <c r="A22" s="14" t="s">
        <v>175</v>
      </c>
      <c r="B22" s="14" t="s">
        <v>176</v>
      </c>
      <c r="C22" s="14" t="s">
        <v>177</v>
      </c>
      <c r="D22" s="14" t="s">
        <v>178</v>
      </c>
      <c r="E22" s="14" t="s">
        <v>179</v>
      </c>
      <c r="F22" s="14" t="s">
        <v>180</v>
      </c>
      <c r="G22" s="14"/>
      <c r="H22" s="14"/>
      <c r="I22" s="19"/>
      <c r="J22" s="19"/>
      <c r="K22" s="14" t="s">
        <v>181</v>
      </c>
      <c r="L22" s="14" t="s">
        <v>182</v>
      </c>
      <c r="M22" s="15" t="s">
        <v>151</v>
      </c>
      <c r="N22" s="15"/>
      <c r="O22" s="15" t="s">
        <v>183</v>
      </c>
      <c r="P22" s="15" t="s">
        <v>184</v>
      </c>
    </row>
    <row r="23" spans="1:16" ht="44.1" customHeight="1">
      <c r="A23" s="14" t="s">
        <v>185</v>
      </c>
      <c r="B23" s="14" t="s">
        <v>176</v>
      </c>
      <c r="C23" s="14" t="s">
        <v>177</v>
      </c>
      <c r="D23" s="14" t="s">
        <v>186</v>
      </c>
      <c r="E23" s="14" t="s">
        <v>179</v>
      </c>
      <c r="F23" s="14" t="s">
        <v>180</v>
      </c>
      <c r="G23" s="14"/>
      <c r="H23" s="14"/>
      <c r="I23" s="19"/>
      <c r="J23" s="19"/>
      <c r="K23" s="14" t="s">
        <v>181</v>
      </c>
      <c r="L23" s="14" t="s">
        <v>182</v>
      </c>
      <c r="M23" s="15" t="s">
        <v>151</v>
      </c>
      <c r="N23" s="15"/>
      <c r="O23" s="15" t="s">
        <v>183</v>
      </c>
      <c r="P23" s="15" t="s">
        <v>187</v>
      </c>
    </row>
    <row r="24" spans="1:16" ht="44.1" customHeight="1">
      <c r="A24" s="14" t="s">
        <v>188</v>
      </c>
      <c r="B24" s="14" t="s">
        <v>176</v>
      </c>
      <c r="C24" s="14" t="s">
        <v>177</v>
      </c>
      <c r="D24" s="14" t="s">
        <v>189</v>
      </c>
      <c r="E24" s="14" t="s">
        <v>179</v>
      </c>
      <c r="F24" s="14" t="s">
        <v>180</v>
      </c>
      <c r="G24" s="14"/>
      <c r="H24" s="14"/>
      <c r="I24" s="19"/>
      <c r="J24" s="19"/>
      <c r="K24" s="14" t="s">
        <v>181</v>
      </c>
      <c r="L24" s="14" t="s">
        <v>182</v>
      </c>
      <c r="M24" s="15" t="s">
        <v>151</v>
      </c>
      <c r="N24" s="15"/>
      <c r="O24" s="15" t="s">
        <v>183</v>
      </c>
      <c r="P24" s="15" t="s">
        <v>190</v>
      </c>
    </row>
    <row r="25" spans="1:16" ht="44.1" customHeight="1">
      <c r="A25" s="14" t="s">
        <v>191</v>
      </c>
      <c r="B25" s="14" t="s">
        <v>176</v>
      </c>
      <c r="C25" s="14" t="s">
        <v>74</v>
      </c>
      <c r="D25" s="14" t="s">
        <v>192</v>
      </c>
      <c r="E25" s="14" t="s">
        <v>179</v>
      </c>
      <c r="F25" s="14" t="s">
        <v>180</v>
      </c>
      <c r="G25" s="14"/>
      <c r="H25" s="14"/>
      <c r="I25" s="19"/>
      <c r="J25" s="19"/>
      <c r="K25" s="14" t="s">
        <v>181</v>
      </c>
      <c r="L25" s="14" t="s">
        <v>182</v>
      </c>
      <c r="M25" s="15" t="s">
        <v>151</v>
      </c>
      <c r="N25" s="15"/>
      <c r="O25" s="15" t="s">
        <v>193</v>
      </c>
      <c r="P25" s="15" t="s">
        <v>194</v>
      </c>
    </row>
    <row r="26" spans="1:16" ht="44.1" customHeight="1">
      <c r="A26" s="14" t="s">
        <v>195</v>
      </c>
      <c r="B26" s="14" t="s">
        <v>196</v>
      </c>
      <c r="C26" s="14" t="s">
        <v>197</v>
      </c>
      <c r="D26" s="14" t="s">
        <v>198</v>
      </c>
      <c r="E26" s="14" t="s">
        <v>199</v>
      </c>
      <c r="F26" s="14" t="s">
        <v>180</v>
      </c>
      <c r="G26" s="14"/>
      <c r="H26" s="14"/>
      <c r="I26" s="19"/>
      <c r="J26" s="19"/>
      <c r="K26" s="14" t="s">
        <v>200</v>
      </c>
      <c r="L26" s="14" t="s">
        <v>201</v>
      </c>
      <c r="M26" s="15" t="s">
        <v>151</v>
      </c>
      <c r="N26" s="15"/>
      <c r="O26" s="15" t="s">
        <v>202</v>
      </c>
      <c r="P26" s="15" t="s">
        <v>203</v>
      </c>
    </row>
    <row r="27" spans="1:16" ht="44.1" customHeight="1">
      <c r="A27" s="6" t="s">
        <v>733</v>
      </c>
      <c r="B27" s="6" t="s">
        <v>73</v>
      </c>
      <c r="C27" s="6" t="s">
        <v>74</v>
      </c>
      <c r="D27" s="6" t="s">
        <v>977</v>
      </c>
      <c r="E27" s="6" t="s">
        <v>978</v>
      </c>
      <c r="F27" s="6" t="s">
        <v>979</v>
      </c>
      <c r="G27" s="6" t="s">
        <v>980</v>
      </c>
      <c r="H27" s="6">
        <v>1</v>
      </c>
      <c r="I27" s="19">
        <v>159</v>
      </c>
      <c r="J27" s="19">
        <v>159</v>
      </c>
      <c r="K27" s="6" t="s">
        <v>981</v>
      </c>
      <c r="L27" s="6" t="s">
        <v>982</v>
      </c>
      <c r="M27" t="s">
        <v>151</v>
      </c>
      <c r="O27" t="s">
        <v>983</v>
      </c>
      <c r="P27" t="s">
        <v>984</v>
      </c>
    </row>
    <row r="28" spans="1:16">
      <c r="A28" t="s">
        <v>985</v>
      </c>
      <c r="I28" s="20"/>
      <c r="J28" s="20"/>
    </row>
    <row r="29" spans="1:16" ht="45.95" customHeight="1">
      <c r="A29" s="68" t="s">
        <v>986</v>
      </c>
      <c r="B29" s="68"/>
      <c r="C29" s="68"/>
      <c r="D29" s="68"/>
      <c r="E29" s="68"/>
      <c r="F29" s="68"/>
      <c r="G29" s="68"/>
      <c r="H29" s="68"/>
      <c r="I29" s="68"/>
      <c r="J29" s="68"/>
      <c r="K29" s="68"/>
      <c r="L29" s="69"/>
    </row>
    <row r="30" spans="1:16" ht="45.95" customHeight="1">
      <c r="A30" s="70" t="s">
        <v>987</v>
      </c>
      <c r="B30" s="70" t="s">
        <v>204</v>
      </c>
      <c r="C30" s="70"/>
      <c r="D30" s="70"/>
      <c r="E30" s="70"/>
      <c r="F30" s="70"/>
      <c r="G30" s="70"/>
      <c r="H30" s="70"/>
      <c r="I30" s="70"/>
      <c r="J30" s="70"/>
      <c r="K30" s="70"/>
      <c r="L30" s="71"/>
    </row>
  </sheetData>
  <mergeCells count="4">
    <mergeCell ref="A29:L29"/>
    <mergeCell ref="A30:L30"/>
    <mergeCell ref="A1:P1"/>
    <mergeCell ref="A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
  <sheetViews>
    <sheetView workbookViewId="0">
      <selection sqref="A1:K1"/>
    </sheetView>
  </sheetViews>
  <sheetFormatPr defaultRowHeight="14.25"/>
  <cols>
    <col min="1" max="1" width="10" customWidth="1"/>
    <col min="2" max="2" width="26" customWidth="1"/>
    <col min="3" max="3" width="24" customWidth="1"/>
    <col min="4" max="4" width="32" customWidth="1"/>
    <col min="5" max="5" width="38" customWidth="1"/>
    <col min="6" max="6" width="14" customWidth="1"/>
    <col min="7" max="7" width="18" customWidth="1"/>
    <col min="8" max="8" width="20" customWidth="1"/>
    <col min="9" max="9" width="30" customWidth="1"/>
    <col min="10" max="10" width="68" customWidth="1"/>
    <col min="11" max="11" width="48" customWidth="1"/>
  </cols>
  <sheetData>
    <row r="1" spans="1:11" ht="27.95" customHeight="1">
      <c r="A1" s="72" t="s">
        <v>988</v>
      </c>
      <c r="B1" s="72"/>
      <c r="C1" s="72"/>
      <c r="D1" s="72"/>
      <c r="E1" s="72"/>
      <c r="F1" s="72"/>
      <c r="G1" s="72"/>
      <c r="H1" s="72"/>
      <c r="I1" s="72"/>
      <c r="J1" s="72"/>
      <c r="K1" s="72"/>
    </row>
    <row r="2" spans="1:11" ht="33.950000000000003" customHeight="1">
      <c r="A2" s="73" t="s">
        <v>989</v>
      </c>
      <c r="B2" s="74"/>
      <c r="C2" s="74"/>
      <c r="D2" s="74"/>
      <c r="E2" s="74"/>
      <c r="F2" s="74"/>
      <c r="G2" s="74"/>
      <c r="H2" s="74"/>
      <c r="I2" s="74"/>
      <c r="J2" s="74"/>
      <c r="K2" s="74"/>
    </row>
    <row r="3" spans="1:11">
      <c r="A3" s="9"/>
      <c r="B3" s="9"/>
      <c r="C3" s="9"/>
      <c r="D3" s="9"/>
      <c r="E3" s="9"/>
      <c r="F3" s="9"/>
      <c r="G3" s="9"/>
      <c r="H3" s="9"/>
      <c r="I3" s="9"/>
      <c r="J3" s="9"/>
      <c r="K3" s="9"/>
    </row>
    <row r="4" spans="1:11" ht="30" customHeight="1">
      <c r="A4" s="8" t="s">
        <v>205</v>
      </c>
      <c r="B4" s="8" t="s">
        <v>206</v>
      </c>
      <c r="C4" s="8" t="s">
        <v>207</v>
      </c>
      <c r="D4" s="8" t="s">
        <v>208</v>
      </c>
      <c r="E4" s="8" t="s">
        <v>209</v>
      </c>
      <c r="F4" s="8" t="s">
        <v>210</v>
      </c>
      <c r="G4" s="8" t="s">
        <v>211</v>
      </c>
      <c r="H4" s="8" t="s">
        <v>212</v>
      </c>
      <c r="I4" s="8" t="s">
        <v>213</v>
      </c>
      <c r="J4" s="8" t="s">
        <v>214</v>
      </c>
      <c r="K4" s="8" t="s">
        <v>215</v>
      </c>
    </row>
    <row r="5" spans="1:11" ht="60" customHeight="1">
      <c r="A5" s="2" t="s">
        <v>216</v>
      </c>
      <c r="B5" s="2" t="s">
        <v>217</v>
      </c>
      <c r="C5" s="2" t="s">
        <v>990</v>
      </c>
      <c r="D5" s="2" t="s">
        <v>991</v>
      </c>
      <c r="E5" s="2" t="s">
        <v>992</v>
      </c>
      <c r="F5" s="2">
        <v>2</v>
      </c>
      <c r="G5" s="2">
        <v>1</v>
      </c>
      <c r="H5" s="2" t="s">
        <v>230</v>
      </c>
      <c r="I5" s="3" t="s">
        <v>993</v>
      </c>
      <c r="J5" s="2" t="s">
        <v>994</v>
      </c>
      <c r="K5" s="2" t="s">
        <v>947</v>
      </c>
    </row>
    <row r="6" spans="1:11" ht="48" customHeight="1">
      <c r="A6" s="2" t="s">
        <v>218</v>
      </c>
      <c r="B6" s="2" t="s">
        <v>219</v>
      </c>
      <c r="C6" s="2" t="s">
        <v>220</v>
      </c>
      <c r="D6" s="2" t="s">
        <v>358</v>
      </c>
      <c r="E6" s="2" t="s">
        <v>995</v>
      </c>
      <c r="F6" s="2">
        <v>2</v>
      </c>
      <c r="G6" s="2">
        <v>1</v>
      </c>
      <c r="H6" s="2" t="s">
        <v>230</v>
      </c>
      <c r="I6" s="5" t="s">
        <v>996</v>
      </c>
      <c r="J6" s="2" t="s">
        <v>997</v>
      </c>
      <c r="K6" s="2" t="s">
        <v>361</v>
      </c>
    </row>
    <row r="7" spans="1:11" ht="117.95" customHeight="1">
      <c r="A7" s="2" t="s">
        <v>221</v>
      </c>
      <c r="B7" s="2" t="s">
        <v>222</v>
      </c>
      <c r="C7" s="2" t="s">
        <v>998</v>
      </c>
      <c r="D7" s="2" t="s">
        <v>999</v>
      </c>
      <c r="E7" s="2" t="s">
        <v>1000</v>
      </c>
      <c r="F7" s="2">
        <v>3</v>
      </c>
      <c r="G7" s="2">
        <v>1</v>
      </c>
      <c r="H7" s="2" t="s">
        <v>230</v>
      </c>
      <c r="I7" s="5" t="s">
        <v>1001</v>
      </c>
      <c r="J7" s="2" t="s">
        <v>1002</v>
      </c>
      <c r="K7" s="2" t="s">
        <v>934</v>
      </c>
    </row>
    <row r="8" spans="1:11" ht="48" customHeight="1">
      <c r="A8" s="2" t="s">
        <v>223</v>
      </c>
      <c r="B8" s="2" t="s">
        <v>224</v>
      </c>
      <c r="C8" s="2" t="s">
        <v>225</v>
      </c>
      <c r="D8" s="2" t="s">
        <v>1003</v>
      </c>
      <c r="E8" s="2" t="s">
        <v>1004</v>
      </c>
      <c r="F8" s="2">
        <v>5</v>
      </c>
      <c r="G8" s="2">
        <v>1</v>
      </c>
      <c r="H8" s="2" t="s">
        <v>230</v>
      </c>
      <c r="I8" s="5" t="s">
        <v>1005</v>
      </c>
      <c r="J8" s="2" t="s">
        <v>1006</v>
      </c>
      <c r="K8" s="2" t="s">
        <v>1007</v>
      </c>
    </row>
    <row r="9" spans="1:11" ht="14.25" customHeight="1">
      <c r="A9" s="2" t="s">
        <v>226</v>
      </c>
      <c r="B9" s="2" t="s">
        <v>227</v>
      </c>
      <c r="C9" s="2" t="s">
        <v>225</v>
      </c>
      <c r="D9" s="2" t="s">
        <v>228</v>
      </c>
      <c r="E9" s="2" t="s">
        <v>229</v>
      </c>
      <c r="F9" s="2">
        <v>1</v>
      </c>
      <c r="G9" s="2">
        <v>1</v>
      </c>
      <c r="H9" s="2" t="s">
        <v>230</v>
      </c>
      <c r="I9" s="3" t="s">
        <v>1008</v>
      </c>
      <c r="J9" s="2" t="s">
        <v>1009</v>
      </c>
      <c r="K9" s="2" t="s">
        <v>231</v>
      </c>
    </row>
    <row r="10" spans="1:11" ht="36" customHeight="1">
      <c r="A10" s="2" t="s">
        <v>232</v>
      </c>
      <c r="B10" s="2" t="s">
        <v>233</v>
      </c>
      <c r="C10" s="2" t="s">
        <v>234</v>
      </c>
      <c r="D10" s="2" t="s">
        <v>235</v>
      </c>
      <c r="E10" s="2" t="s">
        <v>236</v>
      </c>
      <c r="F10" s="2">
        <v>1</v>
      </c>
      <c r="G10" s="2">
        <v>0</v>
      </c>
      <c r="H10" s="2" t="s">
        <v>230</v>
      </c>
      <c r="I10" s="3" t="s">
        <v>237</v>
      </c>
      <c r="J10" s="2" t="s">
        <v>238</v>
      </c>
      <c r="K10" s="2" t="s">
        <v>239</v>
      </c>
    </row>
    <row r="11" spans="1:11" ht="48" customHeight="1">
      <c r="A11" s="2" t="s">
        <v>240</v>
      </c>
      <c r="B11" s="2" t="s">
        <v>241</v>
      </c>
      <c r="C11" s="2" t="s">
        <v>234</v>
      </c>
      <c r="D11" s="2" t="s">
        <v>242</v>
      </c>
      <c r="E11" s="2" t="s">
        <v>243</v>
      </c>
      <c r="F11" s="2">
        <v>2</v>
      </c>
      <c r="G11" s="2">
        <v>0</v>
      </c>
      <c r="H11" s="2">
        <v>1</v>
      </c>
      <c r="I11" s="3" t="s">
        <v>237</v>
      </c>
      <c r="J11" s="2" t="s">
        <v>244</v>
      </c>
      <c r="K11" s="2" t="s">
        <v>245</v>
      </c>
    </row>
    <row r="12" spans="1:11" ht="96" customHeight="1">
      <c r="A12" s="2" t="s">
        <v>246</v>
      </c>
      <c r="B12" s="2" t="s">
        <v>247</v>
      </c>
      <c r="C12" s="2" t="s">
        <v>225</v>
      </c>
      <c r="D12" s="2" t="s">
        <v>230</v>
      </c>
      <c r="E12" s="2" t="s">
        <v>248</v>
      </c>
      <c r="F12" s="2">
        <v>3</v>
      </c>
      <c r="G12" s="2">
        <v>1</v>
      </c>
      <c r="H12" s="2" t="s">
        <v>230</v>
      </c>
      <c r="I12" s="4" t="s">
        <v>237</v>
      </c>
      <c r="J12" s="2" t="s">
        <v>1010</v>
      </c>
      <c r="K12" s="2" t="s">
        <v>231</v>
      </c>
    </row>
    <row r="13" spans="1:11" ht="14.25" customHeight="1">
      <c r="A13" s="2" t="s">
        <v>249</v>
      </c>
      <c r="B13" s="2" t="s">
        <v>250</v>
      </c>
      <c r="C13" s="2" t="s">
        <v>251</v>
      </c>
      <c r="D13" s="2" t="s">
        <v>252</v>
      </c>
      <c r="E13" s="2" t="s">
        <v>253</v>
      </c>
      <c r="F13" s="2">
        <v>2</v>
      </c>
      <c r="G13" s="2">
        <v>1</v>
      </c>
      <c r="H13" s="2">
        <v>1</v>
      </c>
      <c r="I13" s="3" t="s">
        <v>254</v>
      </c>
      <c r="J13" s="2" t="s">
        <v>255</v>
      </c>
      <c r="K13" s="2" t="s">
        <v>256</v>
      </c>
    </row>
    <row r="14" spans="1:11" ht="42" customHeight="1">
      <c r="A14" s="2" t="s">
        <v>257</v>
      </c>
      <c r="B14" s="2" t="s">
        <v>258</v>
      </c>
      <c r="C14" s="2" t="s">
        <v>259</v>
      </c>
      <c r="D14" s="2" t="s">
        <v>260</v>
      </c>
      <c r="E14" s="2" t="s">
        <v>261</v>
      </c>
      <c r="F14" s="2">
        <v>2</v>
      </c>
      <c r="G14" s="2">
        <v>1</v>
      </c>
      <c r="H14" s="2">
        <v>1</v>
      </c>
      <c r="I14" s="3" t="s">
        <v>254</v>
      </c>
      <c r="J14" s="2" t="s">
        <v>262</v>
      </c>
      <c r="K14" s="2" t="s">
        <v>263</v>
      </c>
    </row>
    <row r="15" spans="1:11" ht="42" customHeight="1">
      <c r="A15" s="2" t="s">
        <v>264</v>
      </c>
      <c r="B15" s="2" t="s">
        <v>265</v>
      </c>
      <c r="C15" s="2" t="s">
        <v>266</v>
      </c>
      <c r="D15" s="2" t="s">
        <v>267</v>
      </c>
      <c r="E15" s="2" t="s">
        <v>268</v>
      </c>
      <c r="F15" s="2">
        <v>2</v>
      </c>
      <c r="G15" s="2">
        <v>1</v>
      </c>
      <c r="H15" s="2">
        <v>1</v>
      </c>
      <c r="I15" s="3" t="s">
        <v>237</v>
      </c>
      <c r="J15" s="2" t="s">
        <v>269</v>
      </c>
      <c r="K15" s="2" t="s">
        <v>270</v>
      </c>
    </row>
    <row r="16" spans="1:11" ht="42" customHeight="1">
      <c r="A16" s="2" t="s">
        <v>271</v>
      </c>
      <c r="B16" s="2" t="s">
        <v>1011</v>
      </c>
      <c r="C16" s="2" t="s">
        <v>272</v>
      </c>
      <c r="D16" s="2" t="s">
        <v>273</v>
      </c>
      <c r="E16" s="2" t="s">
        <v>1012</v>
      </c>
      <c r="F16" s="2">
        <v>0</v>
      </c>
      <c r="G16" s="2">
        <v>0</v>
      </c>
      <c r="H16" s="2">
        <v>0</v>
      </c>
      <c r="I16" s="6" t="s">
        <v>1013</v>
      </c>
      <c r="J16" s="2" t="s">
        <v>1014</v>
      </c>
      <c r="K16" s="2" t="s">
        <v>1015</v>
      </c>
    </row>
    <row r="17" spans="1:11" ht="42" customHeight="1">
      <c r="A17" s="2" t="s">
        <v>274</v>
      </c>
      <c r="B17" s="2" t="s">
        <v>265</v>
      </c>
      <c r="C17" s="2" t="s">
        <v>275</v>
      </c>
      <c r="D17" s="2" t="s">
        <v>276</v>
      </c>
      <c r="E17" s="2" t="s">
        <v>277</v>
      </c>
      <c r="F17" s="2">
        <v>1</v>
      </c>
      <c r="G17" s="2">
        <v>1</v>
      </c>
      <c r="H17" s="2">
        <v>1</v>
      </c>
      <c r="I17" s="4" t="s">
        <v>278</v>
      </c>
      <c r="J17" s="2" t="s">
        <v>279</v>
      </c>
      <c r="K17" s="2" t="s">
        <v>231</v>
      </c>
    </row>
    <row r="18" spans="1:11" ht="42" customHeight="1">
      <c r="A18" s="2" t="s">
        <v>280</v>
      </c>
      <c r="B18" s="2" t="s">
        <v>281</v>
      </c>
      <c r="C18" s="2" t="s">
        <v>225</v>
      </c>
      <c r="D18" s="2" t="s">
        <v>282</v>
      </c>
      <c r="E18" s="2" t="s">
        <v>283</v>
      </c>
      <c r="F18" s="2">
        <v>2</v>
      </c>
      <c r="G18" s="2">
        <v>1</v>
      </c>
      <c r="H18" s="2">
        <v>1</v>
      </c>
      <c r="I18" s="3" t="s">
        <v>237</v>
      </c>
      <c r="J18" s="2" t="s">
        <v>284</v>
      </c>
      <c r="K18" s="2" t="s">
        <v>245</v>
      </c>
    </row>
    <row r="19" spans="1:11" ht="42" customHeight="1">
      <c r="A19" s="2" t="s">
        <v>285</v>
      </c>
      <c r="B19" s="2" t="s">
        <v>286</v>
      </c>
      <c r="C19" s="2" t="s">
        <v>225</v>
      </c>
      <c r="D19" s="2" t="s">
        <v>287</v>
      </c>
      <c r="E19" s="2" t="s">
        <v>288</v>
      </c>
      <c r="F19" s="2">
        <v>0</v>
      </c>
      <c r="G19" s="2">
        <v>0</v>
      </c>
      <c r="H19" s="2">
        <v>2</v>
      </c>
      <c r="I19" s="3" t="s">
        <v>237</v>
      </c>
      <c r="J19" s="2" t="s">
        <v>1016</v>
      </c>
      <c r="K19" s="2" t="s">
        <v>245</v>
      </c>
    </row>
    <row r="20" spans="1:11" ht="42" customHeight="1">
      <c r="A20" s="2" t="s">
        <v>289</v>
      </c>
      <c r="B20" s="2" t="s">
        <v>290</v>
      </c>
      <c r="C20" s="2" t="s">
        <v>225</v>
      </c>
      <c r="D20" s="2" t="s">
        <v>287</v>
      </c>
      <c r="E20" s="2" t="s">
        <v>291</v>
      </c>
      <c r="F20" s="2">
        <v>0</v>
      </c>
      <c r="G20" s="2">
        <v>0</v>
      </c>
      <c r="H20" s="2">
        <v>4</v>
      </c>
      <c r="I20" s="3" t="s">
        <v>237</v>
      </c>
      <c r="J20" s="2" t="s">
        <v>1016</v>
      </c>
      <c r="K20" s="2" t="s">
        <v>245</v>
      </c>
    </row>
    <row r="21" spans="1:11" ht="42" customHeight="1">
      <c r="A21" s="2" t="s">
        <v>292</v>
      </c>
      <c r="B21" s="2" t="s">
        <v>293</v>
      </c>
      <c r="C21" s="2" t="s">
        <v>225</v>
      </c>
      <c r="D21" s="2" t="s">
        <v>294</v>
      </c>
      <c r="E21" s="2" t="s">
        <v>295</v>
      </c>
      <c r="F21" s="2">
        <v>0</v>
      </c>
      <c r="G21" s="2">
        <v>0</v>
      </c>
      <c r="H21" s="2">
        <v>2</v>
      </c>
      <c r="I21" s="3" t="s">
        <v>254</v>
      </c>
      <c r="J21" s="2" t="s">
        <v>1017</v>
      </c>
      <c r="K21" s="2" t="s">
        <v>296</v>
      </c>
    </row>
    <row r="22" spans="1:11" ht="42" customHeight="1">
      <c r="A22" s="2" t="s">
        <v>297</v>
      </c>
      <c r="B22" s="2" t="s">
        <v>298</v>
      </c>
      <c r="C22" s="2" t="s">
        <v>225</v>
      </c>
      <c r="D22" s="2" t="s">
        <v>299</v>
      </c>
      <c r="E22" s="2" t="s">
        <v>300</v>
      </c>
      <c r="F22" s="2">
        <v>0</v>
      </c>
      <c r="G22" s="2">
        <v>0</v>
      </c>
      <c r="H22" s="2">
        <v>2</v>
      </c>
      <c r="I22" s="4" t="s">
        <v>301</v>
      </c>
      <c r="J22" s="2" t="s">
        <v>1018</v>
      </c>
      <c r="K22" s="2" t="s">
        <v>302</v>
      </c>
    </row>
    <row r="23" spans="1:11" ht="42" customHeight="1">
      <c r="A23" s="2" t="s">
        <v>303</v>
      </c>
      <c r="B23" s="2" t="s">
        <v>304</v>
      </c>
      <c r="C23" s="2" t="s">
        <v>225</v>
      </c>
      <c r="D23" s="2" t="s">
        <v>305</v>
      </c>
      <c r="E23" s="2" t="s">
        <v>306</v>
      </c>
      <c r="F23" s="2">
        <v>0</v>
      </c>
      <c r="G23" s="2">
        <v>0</v>
      </c>
      <c r="H23" s="2">
        <v>3</v>
      </c>
      <c r="I23" s="4" t="s">
        <v>301</v>
      </c>
      <c r="J23" s="2" t="s">
        <v>1019</v>
      </c>
      <c r="K23" s="2" t="s">
        <v>302</v>
      </c>
    </row>
    <row r="24" spans="1:11" ht="42" customHeight="1">
      <c r="A24" s="2" t="s">
        <v>307</v>
      </c>
      <c r="B24" s="2" t="s">
        <v>308</v>
      </c>
      <c r="C24" s="2" t="s">
        <v>225</v>
      </c>
      <c r="D24" s="2" t="s">
        <v>309</v>
      </c>
      <c r="E24" s="2" t="s">
        <v>310</v>
      </c>
      <c r="F24" s="2">
        <v>0</v>
      </c>
      <c r="G24" s="2">
        <v>0</v>
      </c>
      <c r="H24" s="2">
        <v>2</v>
      </c>
      <c r="I24" s="3" t="s">
        <v>1020</v>
      </c>
      <c r="J24" s="2" t="s">
        <v>1021</v>
      </c>
      <c r="K24" s="2" t="s">
        <v>311</v>
      </c>
    </row>
    <row r="25" spans="1:11" ht="42" customHeight="1">
      <c r="A25" s="2" t="s">
        <v>312</v>
      </c>
      <c r="B25" s="2" t="s">
        <v>308</v>
      </c>
      <c r="C25" s="2" t="s">
        <v>225</v>
      </c>
      <c r="D25" s="2" t="s">
        <v>313</v>
      </c>
      <c r="E25" s="2" t="s">
        <v>314</v>
      </c>
      <c r="F25" s="2">
        <v>0</v>
      </c>
      <c r="G25" s="2">
        <v>0</v>
      </c>
      <c r="H25" s="2">
        <v>2</v>
      </c>
      <c r="I25" s="3" t="s">
        <v>1022</v>
      </c>
      <c r="J25" s="2" t="s">
        <v>1023</v>
      </c>
      <c r="K25" s="2" t="s">
        <v>311</v>
      </c>
    </row>
    <row r="26" spans="1:11" ht="42" customHeight="1">
      <c r="A26" s="2" t="s">
        <v>315</v>
      </c>
      <c r="B26" s="2" t="s">
        <v>308</v>
      </c>
      <c r="C26" s="2" t="s">
        <v>225</v>
      </c>
      <c r="D26" s="2" t="s">
        <v>316</v>
      </c>
      <c r="E26" s="2" t="s">
        <v>317</v>
      </c>
      <c r="F26" s="2">
        <v>0</v>
      </c>
      <c r="G26" s="2">
        <v>0</v>
      </c>
      <c r="H26" s="2">
        <v>2</v>
      </c>
      <c r="I26" s="3" t="s">
        <v>1024</v>
      </c>
      <c r="J26" s="2" t="s">
        <v>1025</v>
      </c>
      <c r="K26" s="2" t="s">
        <v>311</v>
      </c>
    </row>
    <row r="27" spans="1:11" ht="42" customHeight="1">
      <c r="A27" s="2" t="s">
        <v>318</v>
      </c>
      <c r="B27" s="2" t="s">
        <v>319</v>
      </c>
      <c r="C27" s="2" t="s">
        <v>225</v>
      </c>
      <c r="D27" s="2" t="s">
        <v>320</v>
      </c>
      <c r="E27" s="2" t="s">
        <v>321</v>
      </c>
      <c r="F27" s="2">
        <v>1</v>
      </c>
      <c r="G27" s="2">
        <v>1</v>
      </c>
      <c r="H27" s="2">
        <v>1</v>
      </c>
      <c r="I27" s="4" t="s">
        <v>237</v>
      </c>
      <c r="J27" s="2" t="s">
        <v>322</v>
      </c>
      <c r="K27" s="2" t="s">
        <v>239</v>
      </c>
    </row>
    <row r="28" spans="1:11" ht="42" customHeight="1">
      <c r="A28" s="2" t="s">
        <v>323</v>
      </c>
      <c r="B28" s="2" t="s">
        <v>324</v>
      </c>
      <c r="C28" s="2" t="s">
        <v>225</v>
      </c>
      <c r="D28" s="2" t="s">
        <v>320</v>
      </c>
      <c r="E28" s="2" t="s">
        <v>325</v>
      </c>
      <c r="F28" s="2">
        <v>1</v>
      </c>
      <c r="G28" s="2">
        <v>1</v>
      </c>
      <c r="H28" s="2">
        <v>1</v>
      </c>
      <c r="I28" s="4" t="s">
        <v>237</v>
      </c>
      <c r="J28" s="2" t="s">
        <v>322</v>
      </c>
      <c r="K28" s="2" t="s">
        <v>239</v>
      </c>
    </row>
    <row r="29" spans="1:11" ht="42" customHeight="1">
      <c r="A29" s="2" t="s">
        <v>326</v>
      </c>
      <c r="B29" s="2" t="s">
        <v>327</v>
      </c>
      <c r="C29" s="2" t="s">
        <v>225</v>
      </c>
      <c r="D29" s="2" t="s">
        <v>320</v>
      </c>
      <c r="E29" s="2" t="s">
        <v>328</v>
      </c>
      <c r="F29" s="2">
        <v>1</v>
      </c>
      <c r="G29" s="2">
        <v>1</v>
      </c>
      <c r="H29" s="2">
        <v>1</v>
      </c>
      <c r="I29" s="4" t="s">
        <v>237</v>
      </c>
      <c r="J29" s="2" t="s">
        <v>322</v>
      </c>
      <c r="K29" s="2" t="s">
        <v>239</v>
      </c>
    </row>
    <row r="30" spans="1:11" ht="42" customHeight="1">
      <c r="A30" s="2" t="s">
        <v>329</v>
      </c>
      <c r="B30" s="2" t="s">
        <v>330</v>
      </c>
      <c r="C30" s="2" t="s">
        <v>225</v>
      </c>
      <c r="D30" s="2" t="s">
        <v>320</v>
      </c>
      <c r="E30" s="2" t="s">
        <v>331</v>
      </c>
      <c r="F30" s="2">
        <v>1</v>
      </c>
      <c r="G30" s="2">
        <v>1</v>
      </c>
      <c r="H30" s="2">
        <v>1</v>
      </c>
      <c r="I30" s="4" t="s">
        <v>237</v>
      </c>
      <c r="J30" s="2" t="s">
        <v>322</v>
      </c>
      <c r="K30" s="2" t="s">
        <v>239</v>
      </c>
    </row>
    <row r="31" spans="1:11" ht="42" customHeight="1">
      <c r="A31" s="2" t="s">
        <v>332</v>
      </c>
      <c r="B31" s="2" t="s">
        <v>265</v>
      </c>
      <c r="C31" s="2" t="s">
        <v>333</v>
      </c>
      <c r="D31" s="2" t="s">
        <v>334</v>
      </c>
      <c r="E31" s="2" t="s">
        <v>335</v>
      </c>
      <c r="F31" s="2">
        <v>1</v>
      </c>
      <c r="G31" s="2">
        <v>1</v>
      </c>
      <c r="H31" s="2">
        <v>1</v>
      </c>
      <c r="I31" s="3" t="s">
        <v>237</v>
      </c>
      <c r="J31" s="2" t="s">
        <v>336</v>
      </c>
      <c r="K31" s="2" t="s">
        <v>337</v>
      </c>
    </row>
    <row r="32" spans="1:11" ht="85.5">
      <c r="A32" s="9" t="s">
        <v>338</v>
      </c>
      <c r="B32" s="9" t="s">
        <v>339</v>
      </c>
      <c r="C32" s="9" t="s">
        <v>340</v>
      </c>
      <c r="D32" s="9" t="s">
        <v>341</v>
      </c>
      <c r="E32" s="9" t="s">
        <v>342</v>
      </c>
      <c r="F32" s="9">
        <v>0</v>
      </c>
      <c r="G32" s="9">
        <v>0</v>
      </c>
      <c r="H32" s="9">
        <v>0</v>
      </c>
      <c r="I32" s="9" t="s">
        <v>343</v>
      </c>
      <c r="J32" s="9" t="s">
        <v>344</v>
      </c>
      <c r="K32" s="9" t="s">
        <v>345</v>
      </c>
    </row>
    <row r="33" spans="1:11" ht="15">
      <c r="A33" s="75" t="s">
        <v>346</v>
      </c>
      <c r="B33" s="75"/>
      <c r="C33" s="75"/>
      <c r="D33" s="75"/>
      <c r="E33" s="75"/>
      <c r="F33" s="75"/>
      <c r="G33" s="75"/>
      <c r="H33" s="75"/>
      <c r="I33" s="75"/>
      <c r="J33" s="75"/>
      <c r="K33" s="75"/>
    </row>
  </sheetData>
  <mergeCells count="3">
    <mergeCell ref="A1:K1"/>
    <mergeCell ref="A2:K2"/>
    <mergeCell ref="A33:K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25"/>
  <cols>
    <col min="1" max="1" width="16" customWidth="1"/>
    <col min="2" max="3" width="18" customWidth="1"/>
    <col min="4" max="4" width="40" customWidth="1"/>
    <col min="5" max="5" width="20" customWidth="1"/>
    <col min="6" max="6" width="34" customWidth="1"/>
    <col min="7" max="7" width="56" customWidth="1"/>
    <col min="8" max="8" width="26" customWidth="1"/>
    <col min="9" max="9" width="14" customWidth="1"/>
    <col min="10" max="10" width="20" customWidth="1"/>
    <col min="11" max="11" width="66" customWidth="1"/>
  </cols>
  <sheetData>
    <row r="1" spans="1:11" ht="27.95" customHeight="1">
      <c r="A1" s="72" t="s">
        <v>1026</v>
      </c>
      <c r="B1" s="72"/>
      <c r="C1" s="72"/>
      <c r="D1" s="72"/>
      <c r="E1" s="72"/>
      <c r="F1" s="72"/>
      <c r="G1" s="72"/>
      <c r="H1" s="72"/>
      <c r="I1" s="72"/>
      <c r="J1" s="72"/>
      <c r="K1" s="72"/>
    </row>
    <row r="2" spans="1:11" ht="33.950000000000003" customHeight="1">
      <c r="A2" s="73" t="s">
        <v>1027</v>
      </c>
      <c r="B2" s="74" t="s">
        <v>347</v>
      </c>
      <c r="C2" s="74"/>
      <c r="D2" s="74"/>
      <c r="E2" s="74"/>
      <c r="F2" s="74"/>
      <c r="G2" s="74"/>
      <c r="H2" s="74"/>
      <c r="I2" s="74"/>
      <c r="J2" s="74"/>
      <c r="K2" s="74"/>
    </row>
    <row r="3" spans="1:11">
      <c r="A3" s="9"/>
      <c r="B3" s="9"/>
      <c r="C3" s="9"/>
      <c r="D3" s="9"/>
      <c r="E3" s="9"/>
      <c r="F3" s="9"/>
      <c r="G3" s="9"/>
      <c r="H3" s="9"/>
      <c r="I3" s="9"/>
      <c r="J3" s="9"/>
      <c r="K3" s="9"/>
    </row>
    <row r="4" spans="1:11" ht="30" customHeight="1">
      <c r="A4" s="8" t="s">
        <v>348</v>
      </c>
      <c r="B4" s="8" t="s">
        <v>349</v>
      </c>
      <c r="C4" s="8" t="s">
        <v>207</v>
      </c>
      <c r="D4" s="8" t="s">
        <v>208</v>
      </c>
      <c r="E4" s="8" t="s">
        <v>350</v>
      </c>
      <c r="F4" s="8" t="s">
        <v>351</v>
      </c>
      <c r="G4" s="8" t="s">
        <v>215</v>
      </c>
      <c r="H4" s="8" t="s">
        <v>352</v>
      </c>
      <c r="I4" s="8" t="s">
        <v>353</v>
      </c>
      <c r="J4" s="8" t="s">
        <v>354</v>
      </c>
      <c r="K4" s="8" t="s">
        <v>355</v>
      </c>
    </row>
    <row r="5" spans="1:11" ht="39.950000000000003" customHeight="1">
      <c r="A5" s="2" t="s">
        <v>356</v>
      </c>
      <c r="B5" s="2" t="s">
        <v>357</v>
      </c>
      <c r="C5" s="2" t="s">
        <v>220</v>
      </c>
      <c r="D5" s="2" t="s">
        <v>358</v>
      </c>
      <c r="E5" s="2" t="s">
        <v>359</v>
      </c>
      <c r="F5" s="2" t="s">
        <v>360</v>
      </c>
      <c r="G5" s="2" t="s">
        <v>361</v>
      </c>
      <c r="H5" s="2"/>
      <c r="I5" s="2"/>
      <c r="J5" s="2"/>
      <c r="K5" s="5" t="s">
        <v>362</v>
      </c>
    </row>
    <row r="6" spans="1:11" ht="39.950000000000003" customHeight="1">
      <c r="A6" s="2"/>
      <c r="B6" s="2" t="s">
        <v>363</v>
      </c>
      <c r="C6" s="2" t="s">
        <v>364</v>
      </c>
      <c r="D6" s="2" t="s">
        <v>365</v>
      </c>
      <c r="E6" s="2" t="s">
        <v>359</v>
      </c>
      <c r="F6" s="2" t="s">
        <v>360</v>
      </c>
      <c r="G6" s="2" t="s">
        <v>366</v>
      </c>
      <c r="H6" s="2"/>
      <c r="I6" s="2"/>
      <c r="J6" s="2"/>
      <c r="K6" s="5" t="s">
        <v>367</v>
      </c>
    </row>
    <row r="7" spans="1:11" ht="57">
      <c r="A7" s="9" t="s">
        <v>1028</v>
      </c>
      <c r="B7" s="9" t="s">
        <v>1029</v>
      </c>
      <c r="C7" s="9" t="s">
        <v>1030</v>
      </c>
      <c r="D7" s="9" t="s">
        <v>1031</v>
      </c>
      <c r="E7" s="9" t="s">
        <v>1032</v>
      </c>
      <c r="F7" s="9" t="s">
        <v>1033</v>
      </c>
      <c r="G7" s="9" t="s">
        <v>1034</v>
      </c>
      <c r="H7" s="9"/>
      <c r="I7" s="9"/>
      <c r="J7" s="9"/>
      <c r="K7" s="9" t="s">
        <v>1035</v>
      </c>
    </row>
    <row r="8" spans="1:11" ht="50.1" customHeight="1">
      <c r="A8" s="75" t="s">
        <v>368</v>
      </c>
      <c r="B8" s="75"/>
      <c r="C8" s="75"/>
      <c r="D8" s="75" t="s">
        <v>1036</v>
      </c>
      <c r="E8" s="75"/>
      <c r="F8" s="75"/>
      <c r="G8" s="75"/>
      <c r="H8" s="75"/>
      <c r="I8" s="75"/>
      <c r="J8" s="75"/>
      <c r="K8" s="75"/>
    </row>
    <row r="9" spans="1:11">
      <c r="A9" s="9"/>
      <c r="B9" s="9"/>
      <c r="C9" s="9"/>
      <c r="D9" s="9"/>
      <c r="E9" s="9"/>
      <c r="F9" s="9"/>
      <c r="G9" s="9"/>
      <c r="H9" s="9"/>
      <c r="I9" s="9"/>
      <c r="J9" s="9"/>
      <c r="K9" s="9"/>
    </row>
    <row r="10" spans="1:11" ht="15">
      <c r="A10" s="76" t="s">
        <v>369</v>
      </c>
      <c r="B10" s="76"/>
      <c r="C10" s="76"/>
      <c r="D10" s="76"/>
      <c r="E10" s="76"/>
      <c r="F10" s="76"/>
      <c r="G10" s="76"/>
      <c r="H10" s="76"/>
      <c r="I10" s="76"/>
      <c r="J10" s="76"/>
      <c r="K10" s="76"/>
    </row>
    <row r="11" spans="1:11" ht="42" customHeight="1">
      <c r="A11" s="77" t="s">
        <v>370</v>
      </c>
      <c r="B11" s="77"/>
      <c r="C11" s="77"/>
      <c r="D11" s="77"/>
      <c r="E11" s="77"/>
      <c r="F11" s="77"/>
      <c r="G11" s="77"/>
      <c r="H11" s="77"/>
      <c r="I11" s="77"/>
      <c r="J11" s="77"/>
      <c r="K11" s="77"/>
    </row>
    <row r="12" spans="1:11" ht="42" customHeight="1">
      <c r="A12" s="77"/>
      <c r="B12" s="77"/>
      <c r="C12" s="77"/>
      <c r="D12" s="77"/>
      <c r="E12" s="77"/>
      <c r="F12" s="77"/>
      <c r="G12" s="77"/>
      <c r="H12" s="77"/>
      <c r="I12" s="77"/>
      <c r="J12" s="77"/>
      <c r="K12" s="77"/>
    </row>
  </sheetData>
  <mergeCells count="5">
    <mergeCell ref="A1:K1"/>
    <mergeCell ref="A2:K2"/>
    <mergeCell ref="A8:K8"/>
    <mergeCell ref="A10:K10"/>
    <mergeCell ref="A11:K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
  <sheetViews>
    <sheetView workbookViewId="0"/>
  </sheetViews>
  <sheetFormatPr defaultRowHeight="14.25"/>
  <cols>
    <col min="1" max="1" width="15" customWidth="1"/>
    <col min="2" max="2" width="20" customWidth="1"/>
    <col min="3" max="3" width="24" customWidth="1"/>
    <col min="4" max="4" width="34" customWidth="1"/>
    <col min="5" max="5" width="42" customWidth="1"/>
    <col min="6" max="6" width="68" customWidth="1"/>
    <col min="7" max="7" width="62" customWidth="1"/>
    <col min="8" max="8" width="27" customWidth="1"/>
    <col min="9" max="9" width="28" customWidth="1"/>
    <col min="10" max="10" width="24" customWidth="1"/>
  </cols>
  <sheetData>
    <row r="1" spans="1:10" ht="27.95" customHeight="1">
      <c r="A1" s="72" t="s">
        <v>1037</v>
      </c>
      <c r="B1" s="72"/>
      <c r="C1" s="72"/>
      <c r="D1" s="72"/>
      <c r="E1" s="72"/>
      <c r="F1" s="72"/>
      <c r="G1" s="72"/>
      <c r="H1" s="72"/>
      <c r="I1" s="72"/>
      <c r="J1" s="72"/>
    </row>
    <row r="2" spans="1:10" ht="33.950000000000003" customHeight="1">
      <c r="A2" s="73" t="s">
        <v>1038</v>
      </c>
      <c r="B2" s="74"/>
      <c r="C2" s="74"/>
      <c r="D2" s="74"/>
      <c r="E2" s="74"/>
      <c r="F2" s="74"/>
      <c r="G2" s="74"/>
      <c r="H2" s="74"/>
      <c r="I2" s="74"/>
      <c r="J2" s="74"/>
    </row>
    <row r="3" spans="1:10">
      <c r="A3" s="9"/>
      <c r="B3" s="9"/>
      <c r="C3" s="9"/>
      <c r="D3" s="9"/>
      <c r="E3" s="9"/>
      <c r="F3" s="9"/>
      <c r="G3" s="9"/>
      <c r="H3" s="9"/>
      <c r="I3" s="9"/>
      <c r="J3" s="9"/>
    </row>
    <row r="4" spans="1:10" ht="30" customHeight="1">
      <c r="A4" s="8" t="s">
        <v>371</v>
      </c>
      <c r="B4" s="8" t="s">
        <v>372</v>
      </c>
      <c r="C4" s="8" t="s">
        <v>373</v>
      </c>
      <c r="D4" s="8" t="s">
        <v>374</v>
      </c>
      <c r="E4" s="8" t="s">
        <v>375</v>
      </c>
      <c r="F4" s="8" t="s">
        <v>376</v>
      </c>
      <c r="G4" s="8" t="s">
        <v>377</v>
      </c>
      <c r="H4" s="8" t="s">
        <v>378</v>
      </c>
      <c r="I4" s="8" t="s">
        <v>213</v>
      </c>
      <c r="J4" s="8" t="s">
        <v>379</v>
      </c>
    </row>
    <row r="5" spans="1:10" ht="48" customHeight="1">
      <c r="A5" s="2" t="s">
        <v>380</v>
      </c>
      <c r="B5" s="3" t="s">
        <v>381</v>
      </c>
      <c r="C5" s="2" t="s">
        <v>382</v>
      </c>
      <c r="D5" s="2" t="s">
        <v>383</v>
      </c>
      <c r="E5" s="2" t="s">
        <v>384</v>
      </c>
      <c r="F5" s="2" t="s">
        <v>385</v>
      </c>
      <c r="G5" s="2" t="s">
        <v>386</v>
      </c>
      <c r="H5" s="2" t="s">
        <v>387</v>
      </c>
      <c r="I5" s="7" t="s">
        <v>388</v>
      </c>
      <c r="J5" s="2" t="s">
        <v>389</v>
      </c>
    </row>
    <row r="6" spans="1:10" ht="48" customHeight="1">
      <c r="A6" s="2" t="s">
        <v>390</v>
      </c>
      <c r="B6" s="3" t="s">
        <v>391</v>
      </c>
      <c r="C6" s="2" t="s">
        <v>392</v>
      </c>
      <c r="D6" s="2" t="s">
        <v>393</v>
      </c>
      <c r="E6" s="2" t="s">
        <v>394</v>
      </c>
      <c r="F6" s="2" t="s">
        <v>395</v>
      </c>
      <c r="G6" s="2" t="s">
        <v>396</v>
      </c>
      <c r="H6" s="2" t="s">
        <v>397</v>
      </c>
      <c r="I6" s="7" t="s">
        <v>388</v>
      </c>
      <c r="J6" s="2" t="s">
        <v>398</v>
      </c>
    </row>
    <row r="7" spans="1:10" ht="48" customHeight="1">
      <c r="A7" s="2" t="s">
        <v>399</v>
      </c>
      <c r="B7" s="3" t="s">
        <v>400</v>
      </c>
      <c r="C7" s="2" t="s">
        <v>392</v>
      </c>
      <c r="D7" s="2" t="s">
        <v>401</v>
      </c>
      <c r="E7" s="2" t="s">
        <v>402</v>
      </c>
      <c r="F7" s="2" t="s">
        <v>1039</v>
      </c>
      <c r="G7" s="2" t="s">
        <v>1040</v>
      </c>
      <c r="H7" s="2" t="s">
        <v>403</v>
      </c>
      <c r="I7" s="7" t="s">
        <v>388</v>
      </c>
      <c r="J7" s="2" t="s">
        <v>404</v>
      </c>
    </row>
    <row r="8" spans="1:10" ht="48" customHeight="1">
      <c r="A8" s="2" t="s">
        <v>405</v>
      </c>
      <c r="B8" s="5" t="s">
        <v>406</v>
      </c>
      <c r="C8" s="2" t="s">
        <v>407</v>
      </c>
      <c r="D8" s="2" t="s">
        <v>408</v>
      </c>
      <c r="E8" s="2" t="s">
        <v>409</v>
      </c>
      <c r="F8" s="2" t="s">
        <v>410</v>
      </c>
      <c r="G8" s="2" t="s">
        <v>411</v>
      </c>
      <c r="H8" s="2" t="s">
        <v>397</v>
      </c>
      <c r="I8" s="7" t="s">
        <v>388</v>
      </c>
      <c r="J8" s="2" t="s">
        <v>412</v>
      </c>
    </row>
    <row r="9" spans="1:10" ht="48" customHeight="1">
      <c r="A9" s="2" t="s">
        <v>413</v>
      </c>
      <c r="B9" s="5" t="s">
        <v>414</v>
      </c>
      <c r="C9" s="2" t="s">
        <v>415</v>
      </c>
      <c r="D9" s="2" t="s">
        <v>416</v>
      </c>
      <c r="E9" s="2" t="s">
        <v>417</v>
      </c>
      <c r="F9" s="2" t="s">
        <v>418</v>
      </c>
      <c r="G9" s="2" t="s">
        <v>419</v>
      </c>
      <c r="H9" s="2" t="s">
        <v>397</v>
      </c>
      <c r="I9" s="7" t="s">
        <v>388</v>
      </c>
      <c r="J9" s="2" t="s">
        <v>420</v>
      </c>
    </row>
    <row r="10" spans="1:10" ht="48" customHeight="1">
      <c r="A10" s="2" t="s">
        <v>421</v>
      </c>
      <c r="B10" s="5" t="s">
        <v>406</v>
      </c>
      <c r="C10" s="2" t="s">
        <v>407</v>
      </c>
      <c r="D10" s="2" t="s">
        <v>422</v>
      </c>
      <c r="E10" s="2" t="s">
        <v>423</v>
      </c>
      <c r="F10" s="2" t="s">
        <v>424</v>
      </c>
      <c r="G10" s="2" t="s">
        <v>425</v>
      </c>
      <c r="H10" s="2" t="s">
        <v>426</v>
      </c>
      <c r="I10" s="7" t="s">
        <v>388</v>
      </c>
      <c r="J10" s="2" t="s">
        <v>427</v>
      </c>
    </row>
    <row r="11" spans="1:10" ht="48" customHeight="1">
      <c r="A11" s="2" t="s">
        <v>428</v>
      </c>
      <c r="B11" s="5" t="s">
        <v>429</v>
      </c>
      <c r="C11" s="2" t="s">
        <v>430</v>
      </c>
      <c r="D11" s="2" t="s">
        <v>431</v>
      </c>
      <c r="E11" s="2" t="s">
        <v>432</v>
      </c>
      <c r="F11" s="2" t="s">
        <v>433</v>
      </c>
      <c r="G11" s="2" t="s">
        <v>434</v>
      </c>
      <c r="H11" s="2" t="s">
        <v>426</v>
      </c>
      <c r="I11" s="7" t="s">
        <v>388</v>
      </c>
      <c r="J11" s="2" t="s">
        <v>435</v>
      </c>
    </row>
    <row r="12" spans="1:10" ht="48" customHeight="1">
      <c r="A12" s="2" t="s">
        <v>436</v>
      </c>
      <c r="B12" s="5" t="s">
        <v>437</v>
      </c>
      <c r="C12" s="2" t="s">
        <v>438</v>
      </c>
      <c r="D12" s="2" t="s">
        <v>439</v>
      </c>
      <c r="E12" s="2" t="s">
        <v>432</v>
      </c>
      <c r="F12" s="2" t="s">
        <v>440</v>
      </c>
      <c r="G12" s="2" t="s">
        <v>441</v>
      </c>
      <c r="H12" s="2" t="s">
        <v>426</v>
      </c>
      <c r="I12" s="7" t="s">
        <v>388</v>
      </c>
      <c r="J12" s="2" t="s">
        <v>435</v>
      </c>
    </row>
    <row r="13" spans="1:10" ht="48" customHeight="1">
      <c r="A13" s="2" t="s">
        <v>442</v>
      </c>
      <c r="B13" s="5" t="s">
        <v>443</v>
      </c>
      <c r="C13" s="2" t="s">
        <v>444</v>
      </c>
      <c r="D13" s="2" t="s">
        <v>445</v>
      </c>
      <c r="E13" s="2" t="s">
        <v>446</v>
      </c>
      <c r="F13" s="2" t="s">
        <v>447</v>
      </c>
      <c r="G13" s="2" t="s">
        <v>448</v>
      </c>
      <c r="H13" s="2" t="s">
        <v>426</v>
      </c>
      <c r="I13" s="7" t="s">
        <v>388</v>
      </c>
      <c r="J13" s="2" t="s">
        <v>435</v>
      </c>
    </row>
    <row r="14" spans="1:10" ht="48" customHeight="1">
      <c r="A14" s="2" t="s">
        <v>449</v>
      </c>
      <c r="B14" s="5" t="s">
        <v>450</v>
      </c>
      <c r="C14" s="2" t="s">
        <v>451</v>
      </c>
      <c r="D14" s="2" t="s">
        <v>452</v>
      </c>
      <c r="E14" s="2" t="s">
        <v>453</v>
      </c>
      <c r="F14" s="2" t="s">
        <v>454</v>
      </c>
      <c r="G14" s="2" t="s">
        <v>455</v>
      </c>
      <c r="H14" s="2" t="s">
        <v>456</v>
      </c>
      <c r="I14" s="7" t="s">
        <v>388</v>
      </c>
      <c r="J14" s="2" t="s">
        <v>427</v>
      </c>
    </row>
    <row r="15" spans="1:10" ht="60" customHeight="1">
      <c r="A15" s="2" t="s">
        <v>457</v>
      </c>
      <c r="B15" s="5" t="s">
        <v>458</v>
      </c>
      <c r="C15" s="2" t="s">
        <v>459</v>
      </c>
      <c r="D15" s="2" t="s">
        <v>460</v>
      </c>
      <c r="E15" s="2" t="s">
        <v>461</v>
      </c>
      <c r="F15" s="2" t="s">
        <v>462</v>
      </c>
      <c r="G15" s="2" t="s">
        <v>463</v>
      </c>
      <c r="H15" s="2" t="s">
        <v>464</v>
      </c>
      <c r="I15" s="7" t="s">
        <v>388</v>
      </c>
      <c r="J15" s="2" t="s">
        <v>465</v>
      </c>
    </row>
    <row r="16" spans="1:10" ht="48" customHeight="1">
      <c r="A16" s="2" t="s">
        <v>466</v>
      </c>
      <c r="B16" s="5" t="s">
        <v>406</v>
      </c>
      <c r="C16" s="2" t="s">
        <v>407</v>
      </c>
      <c r="D16" s="2" t="s">
        <v>467</v>
      </c>
      <c r="E16" s="2" t="s">
        <v>468</v>
      </c>
      <c r="F16" s="2" t="s">
        <v>469</v>
      </c>
      <c r="G16" s="2" t="s">
        <v>470</v>
      </c>
      <c r="H16" s="2" t="s">
        <v>397</v>
      </c>
      <c r="I16" s="7" t="s">
        <v>388</v>
      </c>
      <c r="J16" s="2" t="s">
        <v>435</v>
      </c>
    </row>
    <row r="17" spans="1:10" ht="48" customHeight="1">
      <c r="A17" s="2" t="s">
        <v>471</v>
      </c>
      <c r="B17" s="5" t="s">
        <v>406</v>
      </c>
      <c r="C17" s="2" t="s">
        <v>407</v>
      </c>
      <c r="D17" s="2" t="s">
        <v>472</v>
      </c>
      <c r="E17" s="2" t="s">
        <v>473</v>
      </c>
      <c r="F17" s="2" t="s">
        <v>474</v>
      </c>
      <c r="G17" s="2" t="s">
        <v>475</v>
      </c>
      <c r="H17" s="2" t="s">
        <v>397</v>
      </c>
      <c r="I17" s="7" t="s">
        <v>388</v>
      </c>
      <c r="J17" s="2" t="s">
        <v>435</v>
      </c>
    </row>
    <row r="18" spans="1:10" ht="48" customHeight="1">
      <c r="A18" s="2" t="s">
        <v>476</v>
      </c>
      <c r="B18" s="4" t="s">
        <v>32</v>
      </c>
      <c r="C18" s="2" t="s">
        <v>477</v>
      </c>
      <c r="D18" s="2" t="s">
        <v>478</v>
      </c>
      <c r="E18" s="2" t="s">
        <v>479</v>
      </c>
      <c r="F18" s="2" t="s">
        <v>480</v>
      </c>
      <c r="G18" s="2" t="s">
        <v>481</v>
      </c>
      <c r="H18" s="2" t="s">
        <v>482</v>
      </c>
      <c r="I18" s="7" t="s">
        <v>388</v>
      </c>
      <c r="J18" s="2" t="s">
        <v>483</v>
      </c>
    </row>
    <row r="19" spans="1:10" ht="48" customHeight="1">
      <c r="A19" s="2" t="s">
        <v>484</v>
      </c>
      <c r="B19" s="4" t="s">
        <v>485</v>
      </c>
      <c r="C19" s="2" t="s">
        <v>486</v>
      </c>
      <c r="D19" s="2" t="s">
        <v>487</v>
      </c>
      <c r="E19" s="2" t="s">
        <v>488</v>
      </c>
      <c r="F19" s="2" t="s">
        <v>489</v>
      </c>
      <c r="G19" s="2" t="s">
        <v>490</v>
      </c>
      <c r="H19" s="2" t="s">
        <v>482</v>
      </c>
      <c r="I19" s="7" t="s">
        <v>388</v>
      </c>
      <c r="J19" s="2" t="s">
        <v>491</v>
      </c>
    </row>
    <row r="20" spans="1:10" ht="48" customHeight="1">
      <c r="A20" s="2" t="s">
        <v>492</v>
      </c>
      <c r="B20" s="4" t="s">
        <v>485</v>
      </c>
      <c r="C20" s="2" t="s">
        <v>486</v>
      </c>
      <c r="D20" s="2" t="s">
        <v>493</v>
      </c>
      <c r="E20" s="2" t="s">
        <v>494</v>
      </c>
      <c r="F20" s="2" t="s">
        <v>495</v>
      </c>
      <c r="G20" s="2" t="s">
        <v>490</v>
      </c>
      <c r="H20" s="2" t="s">
        <v>403</v>
      </c>
      <c r="I20" s="7" t="s">
        <v>388</v>
      </c>
      <c r="J20" s="2" t="s">
        <v>491</v>
      </c>
    </row>
    <row r="21" spans="1:10" ht="48" customHeight="1">
      <c r="A21" s="2" t="s">
        <v>496</v>
      </c>
      <c r="B21" s="4" t="s">
        <v>485</v>
      </c>
      <c r="C21" s="2" t="s">
        <v>486</v>
      </c>
      <c r="D21" s="2" t="s">
        <v>497</v>
      </c>
      <c r="E21" s="2" t="s">
        <v>498</v>
      </c>
      <c r="F21" s="2" t="s">
        <v>499</v>
      </c>
      <c r="G21" s="2" t="s">
        <v>490</v>
      </c>
      <c r="H21" s="2" t="s">
        <v>500</v>
      </c>
      <c r="I21" s="7" t="s">
        <v>388</v>
      </c>
      <c r="J21" s="2" t="s">
        <v>491</v>
      </c>
    </row>
    <row r="22" spans="1:10" ht="48" customHeight="1">
      <c r="A22" s="2" t="s">
        <v>501</v>
      </c>
      <c r="B22" s="4" t="s">
        <v>502</v>
      </c>
      <c r="C22" s="2" t="s">
        <v>503</v>
      </c>
      <c r="D22" s="2" t="s">
        <v>504</v>
      </c>
      <c r="E22" s="2" t="s">
        <v>505</v>
      </c>
      <c r="F22" s="2" t="s">
        <v>506</v>
      </c>
      <c r="G22" s="2" t="s">
        <v>507</v>
      </c>
      <c r="H22" s="2" t="s">
        <v>508</v>
      </c>
      <c r="I22" s="7" t="s">
        <v>388</v>
      </c>
      <c r="J22" s="2" t="s">
        <v>509</v>
      </c>
    </row>
    <row r="23" spans="1:10" ht="120" customHeight="1">
      <c r="A23" s="2" t="s">
        <v>510</v>
      </c>
      <c r="B23" s="4" t="s">
        <v>511</v>
      </c>
      <c r="C23" s="2" t="s">
        <v>512</v>
      </c>
      <c r="D23" s="2" t="s">
        <v>513</v>
      </c>
      <c r="E23" s="2" t="s">
        <v>1041</v>
      </c>
      <c r="F23" s="2" t="s">
        <v>1042</v>
      </c>
      <c r="G23" s="2" t="s">
        <v>1043</v>
      </c>
      <c r="H23" s="2" t="s">
        <v>514</v>
      </c>
      <c r="I23" s="7" t="s">
        <v>1044</v>
      </c>
      <c r="J23" s="2" t="s">
        <v>515</v>
      </c>
    </row>
    <row r="24" spans="1:10" ht="48" customHeight="1">
      <c r="A24" s="2" t="s">
        <v>516</v>
      </c>
      <c r="B24" s="4" t="s">
        <v>32</v>
      </c>
      <c r="C24" s="2" t="s">
        <v>477</v>
      </c>
      <c r="D24" s="2" t="s">
        <v>517</v>
      </c>
      <c r="E24" s="2" t="s">
        <v>1045</v>
      </c>
      <c r="F24" s="2" t="s">
        <v>1046</v>
      </c>
      <c r="G24" s="2" t="s">
        <v>1047</v>
      </c>
      <c r="H24" s="2" t="s">
        <v>403</v>
      </c>
      <c r="I24" s="7" t="s">
        <v>388</v>
      </c>
      <c r="J24" s="2" t="s">
        <v>518</v>
      </c>
    </row>
    <row r="25" spans="1:10" ht="48" customHeight="1">
      <c r="A25" s="2" t="s">
        <v>519</v>
      </c>
      <c r="B25" s="4" t="s">
        <v>32</v>
      </c>
      <c r="C25" s="2" t="s">
        <v>477</v>
      </c>
      <c r="D25" s="2" t="s">
        <v>520</v>
      </c>
      <c r="E25" s="2" t="s">
        <v>521</v>
      </c>
      <c r="F25" s="2" t="s">
        <v>522</v>
      </c>
      <c r="G25" s="2" t="s">
        <v>523</v>
      </c>
      <c r="H25" s="2" t="s">
        <v>397</v>
      </c>
      <c r="I25" s="7" t="s">
        <v>388</v>
      </c>
      <c r="J25" s="2" t="s">
        <v>524</v>
      </c>
    </row>
    <row r="26" spans="1:10" ht="48" customHeight="1">
      <c r="A26" s="2" t="s">
        <v>525</v>
      </c>
      <c r="B26" s="6" t="s">
        <v>32</v>
      </c>
      <c r="C26" s="2" t="s">
        <v>526</v>
      </c>
      <c r="D26" s="2" t="s">
        <v>527</v>
      </c>
      <c r="E26" s="2" t="s">
        <v>528</v>
      </c>
      <c r="F26" s="2" t="s">
        <v>529</v>
      </c>
      <c r="G26" s="2" t="s">
        <v>530</v>
      </c>
      <c r="H26" s="2" t="s">
        <v>531</v>
      </c>
      <c r="I26" s="7" t="s">
        <v>388</v>
      </c>
      <c r="J26" s="2" t="s">
        <v>532</v>
      </c>
    </row>
    <row r="27" spans="1:10">
      <c r="A27" s="9" t="s">
        <v>533</v>
      </c>
      <c r="B27" s="9" t="s">
        <v>534</v>
      </c>
      <c r="C27" s="9" t="s">
        <v>535</v>
      </c>
      <c r="D27" s="9" t="s">
        <v>536</v>
      </c>
      <c r="E27" s="9" t="s">
        <v>537</v>
      </c>
      <c r="F27" s="9" t="s">
        <v>538</v>
      </c>
      <c r="G27" s="9" t="s">
        <v>539</v>
      </c>
      <c r="H27" s="9" t="s">
        <v>540</v>
      </c>
      <c r="I27" s="9" t="s">
        <v>388</v>
      </c>
      <c r="J27" s="9" t="s">
        <v>541</v>
      </c>
    </row>
    <row r="28" spans="1:10" ht="68.099999999999994" customHeight="1">
      <c r="A28" s="27" t="s">
        <v>542</v>
      </c>
      <c r="B28" s="27" t="s">
        <v>543</v>
      </c>
      <c r="C28" s="27" t="s">
        <v>477</v>
      </c>
      <c r="D28" s="27" t="s">
        <v>544</v>
      </c>
      <c r="E28" s="27" t="s">
        <v>545</v>
      </c>
      <c r="F28" s="27" t="s">
        <v>546</v>
      </c>
      <c r="G28" s="27" t="s">
        <v>547</v>
      </c>
      <c r="H28" s="27" t="s">
        <v>514</v>
      </c>
      <c r="I28" s="27" t="s">
        <v>548</v>
      </c>
      <c r="J28" s="27" t="s">
        <v>549</v>
      </c>
    </row>
    <row r="29" spans="1:10" ht="110.1" customHeight="1">
      <c r="A29" s="24" t="s">
        <v>550</v>
      </c>
      <c r="B29" s="24" t="s">
        <v>551</v>
      </c>
      <c r="C29" s="24" t="s">
        <v>552</v>
      </c>
      <c r="D29" s="24" t="s">
        <v>553</v>
      </c>
      <c r="E29" s="24" t="s">
        <v>1048</v>
      </c>
      <c r="F29" s="24" t="s">
        <v>1049</v>
      </c>
      <c r="G29" s="24" t="s">
        <v>1050</v>
      </c>
      <c r="H29" s="24" t="s">
        <v>456</v>
      </c>
      <c r="I29" s="24" t="s">
        <v>554</v>
      </c>
      <c r="J29" s="24" t="s">
        <v>1051</v>
      </c>
    </row>
    <row r="30" spans="1:10" ht="68.099999999999994" customHeight="1">
      <c r="A30" s="24" t="s">
        <v>555</v>
      </c>
      <c r="B30" s="24" t="s">
        <v>32</v>
      </c>
      <c r="C30" s="24" t="s">
        <v>477</v>
      </c>
      <c r="D30" s="24" t="s">
        <v>556</v>
      </c>
      <c r="E30" s="24" t="s">
        <v>557</v>
      </c>
      <c r="F30" s="24" t="s">
        <v>558</v>
      </c>
      <c r="G30" s="24" t="s">
        <v>559</v>
      </c>
      <c r="H30" s="24" t="s">
        <v>397</v>
      </c>
      <c r="I30" s="24" t="s">
        <v>560</v>
      </c>
      <c r="J30" s="24" t="s">
        <v>561</v>
      </c>
    </row>
    <row r="31" spans="1:10" ht="68.099999999999994" customHeight="1">
      <c r="A31" s="24" t="s">
        <v>562</v>
      </c>
      <c r="B31" s="24" t="s">
        <v>563</v>
      </c>
      <c r="C31" s="24" t="s">
        <v>564</v>
      </c>
      <c r="D31" s="24" t="s">
        <v>1052</v>
      </c>
      <c r="E31" s="24" t="s">
        <v>1053</v>
      </c>
      <c r="F31" s="24" t="s">
        <v>1054</v>
      </c>
      <c r="G31" s="24" t="s">
        <v>1055</v>
      </c>
      <c r="H31" s="24" t="s">
        <v>514</v>
      </c>
      <c r="I31" s="24" t="s">
        <v>1056</v>
      </c>
      <c r="J31" s="24" t="s">
        <v>1057</v>
      </c>
    </row>
    <row r="32" spans="1:10" ht="68.099999999999994" customHeight="1">
      <c r="A32" s="24" t="s">
        <v>1058</v>
      </c>
      <c r="B32" s="24" t="s">
        <v>1059</v>
      </c>
      <c r="C32" s="24" t="s">
        <v>567</v>
      </c>
      <c r="D32" s="24" t="s">
        <v>1060</v>
      </c>
      <c r="E32" s="24" t="s">
        <v>1061</v>
      </c>
      <c r="F32" s="24" t="s">
        <v>1062</v>
      </c>
      <c r="G32" s="24" t="s">
        <v>1063</v>
      </c>
      <c r="H32" s="24" t="s">
        <v>403</v>
      </c>
      <c r="I32" s="24" t="s">
        <v>572</v>
      </c>
      <c r="J32" s="24" t="s">
        <v>1064</v>
      </c>
    </row>
    <row r="33" spans="1:10" ht="68.099999999999994" customHeight="1">
      <c r="A33" s="24" t="s">
        <v>565</v>
      </c>
      <c r="B33" s="24" t="s">
        <v>566</v>
      </c>
      <c r="C33" s="24" t="s">
        <v>567</v>
      </c>
      <c r="D33" s="24" t="s">
        <v>568</v>
      </c>
      <c r="E33" s="24" t="s">
        <v>569</v>
      </c>
      <c r="F33" s="24" t="s">
        <v>570</v>
      </c>
      <c r="G33" s="24" t="s">
        <v>571</v>
      </c>
      <c r="H33" s="24" t="s">
        <v>403</v>
      </c>
      <c r="I33" s="24" t="s">
        <v>572</v>
      </c>
      <c r="J33" s="24" t="s">
        <v>573</v>
      </c>
    </row>
    <row r="34" spans="1:10" ht="68.099999999999994" customHeight="1">
      <c r="A34" s="24" t="s">
        <v>574</v>
      </c>
      <c r="B34" s="24" t="s">
        <v>575</v>
      </c>
      <c r="C34" s="24" t="s">
        <v>576</v>
      </c>
      <c r="D34" s="24" t="s">
        <v>577</v>
      </c>
      <c r="E34" s="24" t="s">
        <v>578</v>
      </c>
      <c r="F34" s="24" t="s">
        <v>579</v>
      </c>
      <c r="G34" s="24" t="s">
        <v>580</v>
      </c>
      <c r="H34" s="24" t="s">
        <v>500</v>
      </c>
      <c r="I34" s="24" t="s">
        <v>388</v>
      </c>
      <c r="J34" s="24" t="s">
        <v>581</v>
      </c>
    </row>
    <row r="35" spans="1:10" ht="68.099999999999994" customHeight="1">
      <c r="A35" s="24" t="s">
        <v>582</v>
      </c>
      <c r="B35" s="24" t="s">
        <v>583</v>
      </c>
      <c r="C35" s="24" t="s">
        <v>584</v>
      </c>
      <c r="D35" s="24" t="s">
        <v>585</v>
      </c>
      <c r="E35" s="24" t="s">
        <v>586</v>
      </c>
      <c r="F35" s="24" t="s">
        <v>587</v>
      </c>
      <c r="G35" s="24" t="s">
        <v>588</v>
      </c>
      <c r="H35" s="24" t="s">
        <v>589</v>
      </c>
      <c r="I35" s="24" t="s">
        <v>590</v>
      </c>
      <c r="J35" s="24" t="s">
        <v>591</v>
      </c>
    </row>
    <row r="36" spans="1:10" ht="68.099999999999994" customHeight="1">
      <c r="A36" s="24" t="s">
        <v>592</v>
      </c>
      <c r="B36" s="24" t="s">
        <v>485</v>
      </c>
      <c r="C36" s="24" t="s">
        <v>486</v>
      </c>
      <c r="D36" s="24" t="s">
        <v>593</v>
      </c>
      <c r="E36" s="24" t="s">
        <v>594</v>
      </c>
      <c r="F36" s="24" t="s">
        <v>595</v>
      </c>
      <c r="G36" s="24" t="s">
        <v>596</v>
      </c>
      <c r="H36" s="24" t="s">
        <v>597</v>
      </c>
      <c r="I36" s="24" t="s">
        <v>388</v>
      </c>
      <c r="J36" s="24" t="s">
        <v>491</v>
      </c>
    </row>
    <row r="37" spans="1:10" ht="36" customHeight="1">
      <c r="A37" s="78" t="s">
        <v>598</v>
      </c>
      <c r="B37" s="78"/>
      <c r="C37" s="78"/>
      <c r="D37" s="78"/>
      <c r="E37" s="78"/>
      <c r="F37" s="78"/>
      <c r="G37" s="78"/>
      <c r="H37" s="78"/>
      <c r="I37" s="78"/>
      <c r="J37" s="78"/>
    </row>
  </sheetData>
  <mergeCells count="3">
    <mergeCell ref="A1:J1"/>
    <mergeCell ref="A2:J2"/>
    <mergeCell ref="A37:J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topLeftCell="A2" workbookViewId="0">
      <selection sqref="A1:H1"/>
    </sheetView>
  </sheetViews>
  <sheetFormatPr defaultRowHeight="14.25"/>
  <cols>
    <col min="1" max="1" width="28" customWidth="1"/>
    <col min="2" max="2" width="38" customWidth="1"/>
    <col min="3" max="3" width="70" customWidth="1"/>
    <col min="4" max="4" width="30" customWidth="1"/>
    <col min="5" max="5" width="26" customWidth="1"/>
    <col min="6" max="6" width="52" customWidth="1"/>
    <col min="7" max="7" width="27" customWidth="1"/>
    <col min="8" max="8" width="50" customWidth="1"/>
  </cols>
  <sheetData>
    <row r="1" spans="1:8" ht="27.95" customHeight="1">
      <c r="A1" s="72" t="s">
        <v>1065</v>
      </c>
      <c r="B1" s="72"/>
      <c r="C1" s="72"/>
      <c r="D1" s="72"/>
      <c r="E1" s="72"/>
      <c r="F1" s="72"/>
      <c r="G1" s="72"/>
      <c r="H1" s="72"/>
    </row>
    <row r="2" spans="1:8" ht="33.950000000000003" customHeight="1">
      <c r="A2" s="73" t="s">
        <v>599</v>
      </c>
      <c r="B2" s="74"/>
      <c r="C2" s="74"/>
      <c r="D2" s="74"/>
      <c r="E2" s="74"/>
      <c r="F2" s="74"/>
      <c r="G2" s="74"/>
      <c r="H2" s="74"/>
    </row>
    <row r="3" spans="1:8">
      <c r="A3" s="9"/>
      <c r="B3" s="9"/>
      <c r="C3" s="9"/>
      <c r="D3" s="9"/>
      <c r="E3" s="9"/>
      <c r="F3" s="9"/>
      <c r="G3" s="9"/>
      <c r="H3" s="9"/>
    </row>
    <row r="4" spans="1:8" ht="30" customHeight="1">
      <c r="A4" s="8" t="s">
        <v>206</v>
      </c>
      <c r="B4" s="8" t="s">
        <v>600</v>
      </c>
      <c r="C4" s="8" t="s">
        <v>601</v>
      </c>
      <c r="D4" s="8" t="s">
        <v>213</v>
      </c>
      <c r="E4" s="8" t="s">
        <v>602</v>
      </c>
      <c r="F4" s="8" t="s">
        <v>603</v>
      </c>
      <c r="G4" s="8" t="s">
        <v>604</v>
      </c>
      <c r="H4" s="8" t="s">
        <v>215</v>
      </c>
    </row>
    <row r="5" spans="1:8" ht="24" customHeight="1">
      <c r="A5" s="2" t="s">
        <v>605</v>
      </c>
      <c r="B5" s="2" t="s">
        <v>1066</v>
      </c>
      <c r="C5" s="2" t="s">
        <v>1067</v>
      </c>
      <c r="D5" s="5" t="s">
        <v>1068</v>
      </c>
      <c r="E5" s="2" t="s">
        <v>606</v>
      </c>
      <c r="F5" s="2" t="s">
        <v>607</v>
      </c>
      <c r="G5" s="2" t="s">
        <v>608</v>
      </c>
      <c r="H5" s="2" t="s">
        <v>609</v>
      </c>
    </row>
    <row r="6" spans="1:8" ht="14.25" customHeight="1">
      <c r="A6" s="2" t="s">
        <v>224</v>
      </c>
      <c r="B6" s="2" t="s">
        <v>610</v>
      </c>
      <c r="C6" s="2" t="s">
        <v>611</v>
      </c>
      <c r="D6" s="5" t="s">
        <v>612</v>
      </c>
      <c r="E6" s="2" t="s">
        <v>613</v>
      </c>
      <c r="F6" s="2" t="s">
        <v>614</v>
      </c>
      <c r="G6" s="2" t="s">
        <v>615</v>
      </c>
      <c r="H6" s="2" t="s">
        <v>616</v>
      </c>
    </row>
    <row r="7" spans="1:8" ht="36" customHeight="1">
      <c r="A7" s="2" t="s">
        <v>617</v>
      </c>
      <c r="B7" s="2" t="s">
        <v>1069</v>
      </c>
      <c r="C7" s="2" t="s">
        <v>1070</v>
      </c>
      <c r="D7" s="4" t="s">
        <v>1071</v>
      </c>
      <c r="E7" s="2" t="s">
        <v>618</v>
      </c>
      <c r="F7" s="2" t="s">
        <v>619</v>
      </c>
      <c r="G7" s="2" t="s">
        <v>620</v>
      </c>
      <c r="H7" s="2" t="s">
        <v>1072</v>
      </c>
    </row>
    <row r="8" spans="1:8" ht="60" customHeight="1">
      <c r="A8" s="2" t="s">
        <v>217</v>
      </c>
      <c r="B8" s="2" t="s">
        <v>1073</v>
      </c>
      <c r="C8" s="2" t="s">
        <v>1074</v>
      </c>
      <c r="D8" s="3" t="s">
        <v>1075</v>
      </c>
      <c r="E8" s="2" t="s">
        <v>621</v>
      </c>
      <c r="F8" s="2" t="s">
        <v>622</v>
      </c>
      <c r="G8" s="2" t="s">
        <v>623</v>
      </c>
      <c r="H8" s="2" t="s">
        <v>624</v>
      </c>
    </row>
    <row r="9" spans="1:8" ht="14.25" customHeight="1">
      <c r="A9" s="2" t="s">
        <v>625</v>
      </c>
      <c r="B9" s="2" t="s">
        <v>626</v>
      </c>
      <c r="C9" s="2" t="s">
        <v>627</v>
      </c>
      <c r="D9" s="3" t="s">
        <v>628</v>
      </c>
      <c r="E9" s="2" t="s">
        <v>183</v>
      </c>
      <c r="F9" s="2" t="s">
        <v>629</v>
      </c>
      <c r="G9" s="2" t="s">
        <v>630</v>
      </c>
      <c r="H9" s="2" t="s">
        <v>631</v>
      </c>
    </row>
    <row r="10" spans="1:8" ht="14.25" customHeight="1">
      <c r="A10" s="2" t="s">
        <v>632</v>
      </c>
      <c r="B10" s="2" t="s">
        <v>633</v>
      </c>
      <c r="C10" s="2" t="s">
        <v>634</v>
      </c>
      <c r="D10" s="5" t="s">
        <v>628</v>
      </c>
      <c r="E10" s="2" t="s">
        <v>635</v>
      </c>
      <c r="F10" s="2" t="s">
        <v>636</v>
      </c>
      <c r="G10" s="2" t="s">
        <v>630</v>
      </c>
      <c r="H10" s="2" t="s">
        <v>631</v>
      </c>
    </row>
    <row r="11" spans="1:8" ht="24" customHeight="1">
      <c r="A11" s="2" t="s">
        <v>8</v>
      </c>
      <c r="B11" s="2" t="s">
        <v>637</v>
      </c>
      <c r="C11" s="2" t="s">
        <v>638</v>
      </c>
      <c r="D11" s="3" t="s">
        <v>639</v>
      </c>
      <c r="E11" s="2" t="s">
        <v>640</v>
      </c>
      <c r="F11" s="2" t="s">
        <v>641</v>
      </c>
      <c r="G11" s="2" t="s">
        <v>642</v>
      </c>
      <c r="H11" s="2" t="s">
        <v>643</v>
      </c>
    </row>
    <row r="12" spans="1:8" ht="44.1" customHeight="1">
      <c r="A12" s="2" t="s">
        <v>644</v>
      </c>
      <c r="B12" s="2" t="s">
        <v>645</v>
      </c>
      <c r="C12" s="2" t="s">
        <v>646</v>
      </c>
      <c r="D12" s="3" t="s">
        <v>237</v>
      </c>
      <c r="E12" s="2" t="s">
        <v>32</v>
      </c>
      <c r="F12" s="2" t="s">
        <v>647</v>
      </c>
      <c r="G12" s="2" t="s">
        <v>648</v>
      </c>
      <c r="H12" s="2" t="s">
        <v>649</v>
      </c>
    </row>
    <row r="13" spans="1:8">
      <c r="A13" s="9" t="s">
        <v>11</v>
      </c>
      <c r="B13" s="9" t="s">
        <v>650</v>
      </c>
      <c r="C13" s="9" t="s">
        <v>651</v>
      </c>
      <c r="D13" s="9" t="s">
        <v>652</v>
      </c>
      <c r="E13" s="9" t="s">
        <v>653</v>
      </c>
      <c r="F13" s="9" t="s">
        <v>535</v>
      </c>
      <c r="G13" s="9" t="s">
        <v>654</v>
      </c>
      <c r="H13" s="9" t="s">
        <v>643</v>
      </c>
    </row>
    <row r="14" spans="1:8" ht="118.9" customHeight="1">
      <c r="A14" s="24" t="s">
        <v>655</v>
      </c>
      <c r="B14" s="24" t="s">
        <v>656</v>
      </c>
      <c r="C14" s="24" t="s">
        <v>657</v>
      </c>
      <c r="D14" s="24" t="s">
        <v>1076</v>
      </c>
      <c r="E14" s="24" t="s">
        <v>1077</v>
      </c>
      <c r="F14" s="24" t="s">
        <v>658</v>
      </c>
      <c r="G14" s="24" t="s">
        <v>659</v>
      </c>
      <c r="H14" s="24" t="s">
        <v>660</v>
      </c>
    </row>
    <row r="15" spans="1:8" ht="120" customHeight="1">
      <c r="A15" s="24" t="s">
        <v>661</v>
      </c>
      <c r="B15" s="24" t="s">
        <v>662</v>
      </c>
      <c r="C15" s="24" t="s">
        <v>1078</v>
      </c>
      <c r="D15" s="24" t="s">
        <v>663</v>
      </c>
      <c r="E15" s="24" t="s">
        <v>664</v>
      </c>
      <c r="F15" s="24" t="s">
        <v>665</v>
      </c>
      <c r="G15" s="24" t="s">
        <v>659</v>
      </c>
      <c r="H15" s="24" t="s">
        <v>666</v>
      </c>
    </row>
    <row r="16" spans="1:8">
      <c r="A16" t="s">
        <v>667</v>
      </c>
      <c r="B16" t="s">
        <v>668</v>
      </c>
      <c r="C16" t="s">
        <v>1079</v>
      </c>
      <c r="D16" t="s">
        <v>669</v>
      </c>
      <c r="E16" t="s">
        <v>670</v>
      </c>
      <c r="F16" t="s">
        <v>671</v>
      </c>
      <c r="G16" t="s">
        <v>672</v>
      </c>
      <c r="H16" t="s">
        <v>1080</v>
      </c>
    </row>
    <row r="17" spans="1:8">
      <c r="A17" t="s">
        <v>673</v>
      </c>
      <c r="B17" t="s">
        <v>674</v>
      </c>
      <c r="C17" t="s">
        <v>675</v>
      </c>
      <c r="D17" t="s">
        <v>676</v>
      </c>
      <c r="E17" t="s">
        <v>677</v>
      </c>
      <c r="F17" t="s">
        <v>678</v>
      </c>
      <c r="G17" t="s">
        <v>679</v>
      </c>
      <c r="H17" t="s">
        <v>680</v>
      </c>
    </row>
    <row r="18" spans="1:8">
      <c r="A18" t="s">
        <v>681</v>
      </c>
      <c r="B18" t="s">
        <v>682</v>
      </c>
      <c r="C18" t="s">
        <v>683</v>
      </c>
      <c r="D18" t="s">
        <v>684</v>
      </c>
      <c r="E18" t="s">
        <v>685</v>
      </c>
      <c r="F18" t="s">
        <v>686</v>
      </c>
      <c r="G18" t="s">
        <v>679</v>
      </c>
      <c r="H18" t="s">
        <v>112</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7"/>
  <sheetViews>
    <sheetView topLeftCell="A16" workbookViewId="0">
      <selection activeCell="G31" sqref="G31"/>
    </sheetView>
  </sheetViews>
  <sheetFormatPr defaultRowHeight="14.25"/>
  <cols>
    <col min="1" max="1" width="14" customWidth="1"/>
    <col min="2" max="2" width="30" customWidth="1"/>
    <col min="3" max="3" width="25" customWidth="1"/>
    <col min="4" max="4" width="38" customWidth="1"/>
    <col min="5" max="5" width="14" customWidth="1"/>
    <col min="6" max="7" width="18" customWidth="1"/>
    <col min="8" max="8" width="45" customWidth="1"/>
    <col min="9" max="10" width="17" customWidth="1"/>
    <col min="11" max="11" width="25" customWidth="1"/>
  </cols>
  <sheetData>
    <row r="1" spans="1:11" ht="27.95" customHeight="1">
      <c r="A1" s="72" t="s">
        <v>1081</v>
      </c>
      <c r="B1" s="72"/>
      <c r="C1" s="72"/>
      <c r="D1" s="72"/>
      <c r="E1" s="72"/>
      <c r="F1" s="72"/>
      <c r="G1" s="72"/>
      <c r="H1" s="72"/>
      <c r="I1" s="72"/>
      <c r="J1" s="72"/>
      <c r="K1" s="72"/>
    </row>
    <row r="2" spans="1:11" ht="36" customHeight="1">
      <c r="A2" s="73" t="s">
        <v>1082</v>
      </c>
      <c r="B2" s="74"/>
      <c r="C2" s="74"/>
      <c r="D2" s="74"/>
      <c r="E2" s="74"/>
      <c r="F2" s="74"/>
      <c r="G2" s="74"/>
      <c r="H2" s="74"/>
      <c r="I2" s="74"/>
      <c r="J2" s="74"/>
      <c r="K2" s="74"/>
    </row>
    <row r="3" spans="1:11">
      <c r="A3" s="9"/>
      <c r="B3" s="9"/>
      <c r="C3" s="9"/>
      <c r="D3" s="9"/>
      <c r="E3" s="9"/>
      <c r="F3" s="9"/>
      <c r="G3" s="9"/>
      <c r="H3" s="9"/>
      <c r="I3" s="9"/>
      <c r="J3" s="9"/>
      <c r="K3" s="9"/>
    </row>
    <row r="4" spans="1:11" ht="30" customHeight="1">
      <c r="A4" s="8" t="s">
        <v>687</v>
      </c>
      <c r="B4" s="8" t="s">
        <v>61</v>
      </c>
      <c r="C4" s="8" t="s">
        <v>63</v>
      </c>
      <c r="D4" s="8" t="s">
        <v>688</v>
      </c>
      <c r="E4" s="8" t="s">
        <v>689</v>
      </c>
      <c r="F4" s="8" t="s">
        <v>1083</v>
      </c>
      <c r="G4" s="8" t="s">
        <v>1084</v>
      </c>
      <c r="H4" s="8" t="s">
        <v>690</v>
      </c>
      <c r="I4" s="8" t="s">
        <v>691</v>
      </c>
      <c r="J4" s="8" t="s">
        <v>692</v>
      </c>
      <c r="K4" s="8" t="s">
        <v>693</v>
      </c>
    </row>
    <row r="5" spans="1:11" ht="30" customHeight="1">
      <c r="A5" s="2" t="s">
        <v>72</v>
      </c>
      <c r="B5" s="2" t="s">
        <v>1085</v>
      </c>
      <c r="C5" s="2" t="s">
        <v>151</v>
      </c>
      <c r="D5" s="2" t="s">
        <v>1086</v>
      </c>
      <c r="E5" s="2"/>
      <c r="F5" s="21"/>
      <c r="G5" s="21" t="str">
        <f t="shared" ref="G5:G20" si="0">IF(OR(E5="",F5=""),"",E5*F5)</f>
        <v/>
      </c>
      <c r="H5" s="2"/>
      <c r="I5" s="2"/>
      <c r="J5" s="2"/>
      <c r="K5" s="9"/>
    </row>
    <row r="6" spans="1:11" ht="45" customHeight="1">
      <c r="A6" s="2" t="s">
        <v>85</v>
      </c>
      <c r="B6" s="2" t="s">
        <v>86</v>
      </c>
      <c r="C6" s="2" t="s">
        <v>926</v>
      </c>
      <c r="D6" s="2" t="s">
        <v>1087</v>
      </c>
      <c r="E6" s="2">
        <v>2</v>
      </c>
      <c r="F6" s="21">
        <v>84.483699999999999</v>
      </c>
      <c r="G6" s="21">
        <f t="shared" si="0"/>
        <v>168.9674</v>
      </c>
      <c r="H6" s="2" t="s">
        <v>361</v>
      </c>
      <c r="I6" s="61" t="s">
        <v>1088</v>
      </c>
      <c r="J6" s="2"/>
      <c r="K6" s="9" t="s">
        <v>1089</v>
      </c>
    </row>
    <row r="7" spans="1:11" ht="45" customHeight="1">
      <c r="A7" s="2" t="s">
        <v>89</v>
      </c>
      <c r="B7" s="2" t="s">
        <v>1090</v>
      </c>
      <c r="C7" s="2" t="s">
        <v>933</v>
      </c>
      <c r="D7" s="2" t="s">
        <v>1091</v>
      </c>
      <c r="E7" s="2">
        <v>3</v>
      </c>
      <c r="F7" s="21">
        <v>121.08</v>
      </c>
      <c r="G7" s="63">
        <f t="shared" si="0"/>
        <v>363.24</v>
      </c>
      <c r="H7" s="2" t="s">
        <v>934</v>
      </c>
      <c r="I7" s="2"/>
      <c r="J7" s="2"/>
      <c r="K7" s="9"/>
    </row>
    <row r="8" spans="1:11" ht="39.950000000000003" customHeight="1">
      <c r="A8" s="2" t="s">
        <v>94</v>
      </c>
      <c r="B8" s="2" t="s">
        <v>1092</v>
      </c>
      <c r="C8" s="2" t="s">
        <v>933</v>
      </c>
      <c r="D8" s="2" t="s">
        <v>1093</v>
      </c>
      <c r="E8" s="2">
        <v>5</v>
      </c>
      <c r="F8" s="21">
        <v>58.12</v>
      </c>
      <c r="G8" s="63">
        <f t="shared" si="0"/>
        <v>290.59999999999997</v>
      </c>
      <c r="H8" s="2" t="s">
        <v>98</v>
      </c>
      <c r="I8" s="2"/>
      <c r="J8" s="2"/>
      <c r="K8" s="9"/>
    </row>
    <row r="9" spans="1:11" ht="65.099999999999994" customHeight="1">
      <c r="A9" s="2" t="s">
        <v>102</v>
      </c>
      <c r="B9" s="2" t="s">
        <v>1094</v>
      </c>
      <c r="C9" s="2" t="s">
        <v>933</v>
      </c>
      <c r="D9" s="2" t="s">
        <v>1095</v>
      </c>
      <c r="E9" s="2">
        <v>1</v>
      </c>
      <c r="F9" s="21">
        <v>140.56</v>
      </c>
      <c r="G9" s="63">
        <f t="shared" si="0"/>
        <v>140.56</v>
      </c>
      <c r="H9" s="2" t="s">
        <v>1096</v>
      </c>
      <c r="I9" s="2"/>
      <c r="J9" s="2"/>
      <c r="K9" s="9"/>
    </row>
    <row r="10" spans="1:11" ht="45" customHeight="1">
      <c r="A10" s="2" t="s">
        <v>104</v>
      </c>
      <c r="B10" s="2" t="s">
        <v>105</v>
      </c>
      <c r="C10" s="2" t="s">
        <v>933</v>
      </c>
      <c r="D10" s="2" t="s">
        <v>1097</v>
      </c>
      <c r="E10" s="2">
        <v>2</v>
      </c>
      <c r="F10" s="21">
        <v>508.53</v>
      </c>
      <c r="G10" s="63">
        <f t="shared" si="0"/>
        <v>1017.06</v>
      </c>
      <c r="H10" s="2" t="s">
        <v>947</v>
      </c>
      <c r="I10" s="2"/>
      <c r="J10" s="2"/>
      <c r="K10" s="9"/>
    </row>
    <row r="11" spans="1:11" ht="39.950000000000003" customHeight="1">
      <c r="A11" s="2" t="s">
        <v>106</v>
      </c>
      <c r="B11" s="2" t="s">
        <v>1098</v>
      </c>
      <c r="C11" s="2" t="s">
        <v>109</v>
      </c>
      <c r="D11" s="2" t="s">
        <v>1099</v>
      </c>
      <c r="E11" s="2">
        <v>2</v>
      </c>
      <c r="F11" s="62">
        <v>88.375</v>
      </c>
      <c r="G11" s="63">
        <f t="shared" si="0"/>
        <v>176.75</v>
      </c>
      <c r="H11" s="2" t="s">
        <v>110</v>
      </c>
      <c r="I11" s="2"/>
      <c r="J11" s="2"/>
      <c r="K11" s="9"/>
    </row>
    <row r="12" spans="1:11" ht="39.950000000000003" customHeight="1">
      <c r="A12" s="2" t="s">
        <v>113</v>
      </c>
      <c r="B12" s="2" t="s">
        <v>114</v>
      </c>
      <c r="C12" s="2" t="s">
        <v>109</v>
      </c>
      <c r="D12" s="2" t="s">
        <v>1100</v>
      </c>
      <c r="E12" s="2">
        <v>4</v>
      </c>
      <c r="F12" s="62">
        <v>17.675000000000001</v>
      </c>
      <c r="G12" s="63">
        <f t="shared" si="0"/>
        <v>70.7</v>
      </c>
      <c r="H12" s="2" t="s">
        <v>958</v>
      </c>
      <c r="I12" s="2"/>
      <c r="J12" s="2"/>
      <c r="K12" s="9"/>
    </row>
    <row r="13" spans="1:11" ht="32.1" customHeight="1">
      <c r="A13" s="2" t="s">
        <v>117</v>
      </c>
      <c r="B13" s="2" t="s">
        <v>1101</v>
      </c>
      <c r="C13" s="2" t="s">
        <v>151</v>
      </c>
      <c r="D13" s="2" t="s">
        <v>1102</v>
      </c>
      <c r="E13" s="2"/>
      <c r="F13" s="21"/>
      <c r="G13" s="21" t="str">
        <f t="shared" si="0"/>
        <v/>
      </c>
      <c r="H13" s="2"/>
      <c r="I13" s="2"/>
      <c r="J13" s="2"/>
      <c r="K13" s="9"/>
    </row>
    <row r="14" spans="1:11" ht="32.1" customHeight="1">
      <c r="A14" s="2" t="s">
        <v>128</v>
      </c>
      <c r="B14" s="2" t="s">
        <v>129</v>
      </c>
      <c r="C14" s="2" t="s">
        <v>151</v>
      </c>
      <c r="D14" s="2" t="s">
        <v>1103</v>
      </c>
      <c r="E14" s="2"/>
      <c r="F14" s="21"/>
      <c r="G14" s="21" t="str">
        <f t="shared" si="0"/>
        <v/>
      </c>
      <c r="H14" s="2"/>
      <c r="I14" s="2"/>
      <c r="J14" s="2"/>
      <c r="K14" s="9"/>
    </row>
    <row r="15" spans="1:11" ht="72" customHeight="1">
      <c r="A15" s="2" t="s">
        <v>139</v>
      </c>
      <c r="B15" s="2" t="s">
        <v>1104</v>
      </c>
      <c r="C15" s="2" t="s">
        <v>1105</v>
      </c>
      <c r="D15" s="2" t="s">
        <v>1106</v>
      </c>
      <c r="E15" s="2"/>
      <c r="F15" s="21"/>
      <c r="G15" s="21" t="str">
        <f t="shared" si="0"/>
        <v/>
      </c>
      <c r="H15" s="2" t="s">
        <v>1107</v>
      </c>
      <c r="I15" s="2"/>
      <c r="J15" s="2"/>
      <c r="K15" s="9"/>
    </row>
    <row r="16" spans="1:11" ht="48" customHeight="1">
      <c r="A16" s="2" t="s">
        <v>144</v>
      </c>
      <c r="B16" s="2" t="s">
        <v>1108</v>
      </c>
      <c r="C16" s="2" t="s">
        <v>933</v>
      </c>
      <c r="D16" s="2" t="s">
        <v>1109</v>
      </c>
      <c r="E16" s="2">
        <v>1</v>
      </c>
      <c r="F16" s="21">
        <v>75.55</v>
      </c>
      <c r="G16" s="21">
        <f t="shared" si="0"/>
        <v>75.55</v>
      </c>
      <c r="H16" s="2" t="s">
        <v>969</v>
      </c>
      <c r="I16" s="2"/>
      <c r="J16" s="2"/>
      <c r="K16" s="9"/>
    </row>
    <row r="17" spans="1:11" ht="51.95" customHeight="1">
      <c r="A17" s="2" t="s">
        <v>733</v>
      </c>
      <c r="B17" s="2" t="s">
        <v>1110</v>
      </c>
      <c r="C17" s="2" t="s">
        <v>979</v>
      </c>
      <c r="D17" s="2" t="s">
        <v>1111</v>
      </c>
      <c r="E17" s="2">
        <v>1</v>
      </c>
      <c r="F17" s="21">
        <v>159</v>
      </c>
      <c r="G17" s="21">
        <f t="shared" si="0"/>
        <v>159</v>
      </c>
      <c r="H17" s="2" t="s">
        <v>980</v>
      </c>
      <c r="I17" s="2"/>
      <c r="J17" s="2"/>
      <c r="K17" s="9"/>
    </row>
    <row r="18" spans="1:11" ht="32.1" customHeight="1">
      <c r="A18" s="2" t="s">
        <v>1418</v>
      </c>
      <c r="B18" s="2" t="s">
        <v>1419</v>
      </c>
      <c r="C18" s="2" t="s">
        <v>109</v>
      </c>
      <c r="D18" s="2" t="s">
        <v>1113</v>
      </c>
      <c r="E18" s="2">
        <v>2</v>
      </c>
      <c r="F18" s="21">
        <v>45</v>
      </c>
      <c r="G18" s="21">
        <f t="shared" si="0"/>
        <v>90</v>
      </c>
      <c r="H18" s="2" t="s">
        <v>1114</v>
      </c>
      <c r="I18" s="2"/>
      <c r="J18" s="2"/>
      <c r="K18" s="9" t="s">
        <v>1115</v>
      </c>
    </row>
    <row r="19" spans="1:11" ht="32.1" customHeight="1">
      <c r="A19" s="2" t="s">
        <v>152</v>
      </c>
      <c r="B19" s="2" t="s">
        <v>153</v>
      </c>
      <c r="C19" s="2" t="s">
        <v>151</v>
      </c>
      <c r="D19" s="2" t="s">
        <v>1116</v>
      </c>
      <c r="E19" s="2"/>
      <c r="F19" s="21"/>
      <c r="G19" s="21" t="str">
        <f t="shared" si="0"/>
        <v/>
      </c>
      <c r="H19" s="2"/>
      <c r="I19" s="2"/>
      <c r="J19" s="2"/>
      <c r="K19" s="9"/>
    </row>
    <row r="20" spans="1:11" ht="32.1" customHeight="1">
      <c r="A20" s="2" t="s">
        <v>158</v>
      </c>
      <c r="B20" s="2" t="s">
        <v>1117</v>
      </c>
      <c r="C20" s="2" t="s">
        <v>151</v>
      </c>
      <c r="D20" s="2" t="s">
        <v>1118</v>
      </c>
      <c r="E20" s="2"/>
      <c r="F20" s="21"/>
      <c r="G20" s="21" t="str">
        <f t="shared" si="0"/>
        <v/>
      </c>
      <c r="H20" s="2"/>
      <c r="I20" s="2"/>
      <c r="J20" s="2"/>
      <c r="K20" s="9"/>
    </row>
    <row r="21" spans="1:11" ht="32.1" customHeight="1">
      <c r="A21" s="2" t="s">
        <v>162</v>
      </c>
      <c r="B21" s="2" t="s">
        <v>1119</v>
      </c>
      <c r="C21" s="2" t="s">
        <v>151</v>
      </c>
      <c r="D21" s="2" t="s">
        <v>1120</v>
      </c>
      <c r="E21" s="2"/>
      <c r="F21" s="21"/>
      <c r="G21" s="21"/>
      <c r="H21" s="2"/>
      <c r="I21" s="2"/>
      <c r="J21" s="2"/>
      <c r="K21" s="9"/>
    </row>
    <row r="22" spans="1:11" ht="32.1" customHeight="1">
      <c r="A22" s="2" t="s">
        <v>169</v>
      </c>
      <c r="B22" s="2" t="s">
        <v>1121</v>
      </c>
      <c r="C22" s="2" t="s">
        <v>151</v>
      </c>
      <c r="D22" s="2" t="s">
        <v>1122</v>
      </c>
      <c r="E22" s="2"/>
      <c r="F22" s="21"/>
      <c r="G22" s="21"/>
      <c r="H22" s="2"/>
      <c r="I22" s="2"/>
      <c r="J22" s="2"/>
      <c r="K22" s="9"/>
    </row>
    <row r="23" spans="1:11" ht="32.1" customHeight="1">
      <c r="A23" s="2"/>
      <c r="B23" s="2"/>
      <c r="C23" s="2"/>
      <c r="D23" s="2"/>
      <c r="E23" s="2"/>
      <c r="F23" s="21"/>
      <c r="G23" s="21"/>
      <c r="H23" s="2"/>
      <c r="I23" s="2"/>
      <c r="J23" s="2"/>
      <c r="K23" s="9"/>
    </row>
    <row r="24" spans="1:11">
      <c r="A24" s="9"/>
      <c r="B24" s="9"/>
      <c r="C24" s="9"/>
      <c r="D24" s="9"/>
      <c r="E24" s="9"/>
      <c r="F24" s="22"/>
      <c r="G24" s="22"/>
      <c r="H24" s="9"/>
      <c r="I24" s="9"/>
      <c r="J24" s="9"/>
      <c r="K24" s="9"/>
    </row>
    <row r="25" spans="1:11" ht="15">
      <c r="A25" s="79" t="s">
        <v>1416</v>
      </c>
      <c r="B25" s="79"/>
      <c r="C25" s="79"/>
      <c r="D25" s="79"/>
      <c r="E25" s="79"/>
      <c r="F25" s="80"/>
      <c r="G25" s="59">
        <f>Gerçek_Sipariş_Rev03!D8</f>
        <v>3613.21</v>
      </c>
      <c r="H25" s="9"/>
      <c r="I25" s="9"/>
      <c r="J25" s="9"/>
      <c r="K25" s="9"/>
    </row>
    <row r="26" spans="1:11">
      <c r="A26" s="9"/>
      <c r="B26" s="9"/>
      <c r="C26" s="9"/>
      <c r="D26" s="9"/>
      <c r="E26" s="9"/>
      <c r="F26" s="9"/>
      <c r="G26" s="9"/>
      <c r="H26" s="9"/>
      <c r="I26" s="9"/>
      <c r="J26" s="9"/>
      <c r="K26" s="9"/>
    </row>
    <row r="27" spans="1:11" ht="80.099999999999994" customHeight="1">
      <c r="A27" s="75" t="s">
        <v>1417</v>
      </c>
      <c r="B27" s="75"/>
      <c r="C27" s="75"/>
      <c r="D27" s="75"/>
      <c r="E27" s="75"/>
      <c r="F27" s="75"/>
      <c r="G27" s="75"/>
      <c r="H27" s="75"/>
      <c r="I27" s="75"/>
      <c r="J27" s="75"/>
      <c r="K27" s="9"/>
    </row>
  </sheetData>
  <mergeCells count="4">
    <mergeCell ref="A25:F25"/>
    <mergeCell ref="A27:J27"/>
    <mergeCell ref="A1:K1"/>
    <mergeCell ref="A2: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2"/>
  <sheetViews>
    <sheetView workbookViewId="0">
      <pane ySplit="4" topLeftCell="A5" activePane="bottomLeft" state="frozen"/>
      <selection pane="bottomLeft"/>
    </sheetView>
  </sheetViews>
  <sheetFormatPr defaultRowHeight="14.25"/>
  <cols>
    <col min="1" max="1" width="10" customWidth="1"/>
    <col min="2" max="2" width="20" customWidth="1"/>
    <col min="3" max="3" width="17" customWidth="1"/>
    <col min="4" max="4" width="28" customWidth="1"/>
    <col min="5" max="5" width="38" customWidth="1"/>
    <col min="6" max="6" width="24" customWidth="1"/>
    <col min="7" max="7" width="9" customWidth="1"/>
    <col min="8" max="9" width="16" customWidth="1"/>
    <col min="10" max="10" width="60" customWidth="1"/>
  </cols>
  <sheetData>
    <row r="1" spans="1:10" ht="18">
      <c r="A1" s="72" t="s">
        <v>1123</v>
      </c>
      <c r="B1" s="72"/>
      <c r="C1" s="72"/>
      <c r="D1" s="72"/>
      <c r="E1" s="72"/>
      <c r="F1" s="72"/>
      <c r="G1" s="72"/>
      <c r="H1" s="72"/>
      <c r="I1" s="72"/>
      <c r="J1" s="72"/>
    </row>
    <row r="2" spans="1:10" ht="42" customHeight="1">
      <c r="A2" s="74" t="s">
        <v>1124</v>
      </c>
      <c r="B2" s="74"/>
      <c r="C2" s="74"/>
      <c r="D2" s="74"/>
      <c r="E2" s="74"/>
      <c r="F2" s="74"/>
      <c r="G2" s="74"/>
      <c r="H2" s="74"/>
      <c r="I2" s="74"/>
      <c r="J2" s="74"/>
    </row>
    <row r="4" spans="1:10" ht="32.1" customHeight="1">
      <c r="A4" s="23" t="s">
        <v>694</v>
      </c>
      <c r="B4" s="23" t="s">
        <v>59</v>
      </c>
      <c r="C4" s="23" t="s">
        <v>60</v>
      </c>
      <c r="D4" s="23" t="s">
        <v>695</v>
      </c>
      <c r="E4" s="23" t="s">
        <v>696</v>
      </c>
      <c r="F4" s="23" t="s">
        <v>697</v>
      </c>
      <c r="G4" s="23" t="s">
        <v>65</v>
      </c>
      <c r="H4" s="23" t="s">
        <v>698</v>
      </c>
      <c r="I4" s="23" t="s">
        <v>699</v>
      </c>
      <c r="J4" s="23" t="s">
        <v>700</v>
      </c>
    </row>
    <row r="5" spans="1:10" ht="120" customHeight="1">
      <c r="A5" s="24" t="s">
        <v>701</v>
      </c>
      <c r="B5" s="24" t="s">
        <v>702</v>
      </c>
      <c r="C5" s="24" t="s">
        <v>703</v>
      </c>
      <c r="D5" s="24" t="s">
        <v>704</v>
      </c>
      <c r="E5" s="24" t="s">
        <v>705</v>
      </c>
      <c r="F5" s="24" t="s">
        <v>706</v>
      </c>
      <c r="G5" s="24">
        <v>0</v>
      </c>
      <c r="H5" s="26"/>
      <c r="I5" s="26"/>
      <c r="J5" s="24" t="s">
        <v>1125</v>
      </c>
    </row>
    <row r="6" spans="1:10" ht="72" customHeight="1">
      <c r="A6" s="24" t="s">
        <v>707</v>
      </c>
      <c r="B6" s="24" t="s">
        <v>708</v>
      </c>
      <c r="C6" s="24" t="s">
        <v>709</v>
      </c>
      <c r="D6" s="24" t="s">
        <v>710</v>
      </c>
      <c r="E6" s="24" t="s">
        <v>711</v>
      </c>
      <c r="F6" s="24" t="s">
        <v>712</v>
      </c>
      <c r="G6" s="24">
        <v>0</v>
      </c>
      <c r="H6" s="26"/>
      <c r="I6" s="26" t="str">
        <f t="shared" ref="I6:I14" si="0">IF(OR(G6="",H6=""),"",G6*H6)</f>
        <v/>
      </c>
      <c r="J6" s="24" t="s">
        <v>713</v>
      </c>
    </row>
    <row r="7" spans="1:10" ht="72" customHeight="1">
      <c r="A7" s="24" t="s">
        <v>714</v>
      </c>
      <c r="B7" s="24" t="s">
        <v>715</v>
      </c>
      <c r="C7" s="24" t="s">
        <v>716</v>
      </c>
      <c r="D7" s="24" t="s">
        <v>717</v>
      </c>
      <c r="E7" s="24" t="s">
        <v>718</v>
      </c>
      <c r="F7" s="24" t="s">
        <v>719</v>
      </c>
      <c r="G7" s="24">
        <v>1</v>
      </c>
      <c r="H7" s="26"/>
      <c r="I7" s="26" t="str">
        <f t="shared" si="0"/>
        <v/>
      </c>
      <c r="J7" s="24" t="s">
        <v>720</v>
      </c>
    </row>
    <row r="8" spans="1:10" ht="72" customHeight="1">
      <c r="A8" s="24" t="s">
        <v>721</v>
      </c>
      <c r="B8" s="24" t="s">
        <v>73</v>
      </c>
      <c r="C8" s="24" t="s">
        <v>74</v>
      </c>
      <c r="D8" s="24" t="s">
        <v>722</v>
      </c>
      <c r="E8" s="24" t="s">
        <v>1126</v>
      </c>
      <c r="F8" s="24" t="s">
        <v>1127</v>
      </c>
      <c r="G8" s="24">
        <v>0</v>
      </c>
      <c r="H8" s="26"/>
      <c r="I8" s="26" t="str">
        <f t="shared" si="0"/>
        <v/>
      </c>
      <c r="J8" s="24" t="s">
        <v>1128</v>
      </c>
    </row>
    <row r="9" spans="1:10" ht="72" customHeight="1">
      <c r="A9" s="24" t="s">
        <v>723</v>
      </c>
      <c r="B9" s="24" t="s">
        <v>73</v>
      </c>
      <c r="C9" s="24" t="s">
        <v>74</v>
      </c>
      <c r="D9" s="24" t="s">
        <v>724</v>
      </c>
      <c r="E9" s="24" t="s">
        <v>1129</v>
      </c>
      <c r="F9" s="24" t="s">
        <v>1130</v>
      </c>
      <c r="G9" s="24">
        <v>0</v>
      </c>
      <c r="H9" s="26"/>
      <c r="I9" s="26" t="str">
        <f t="shared" si="0"/>
        <v/>
      </c>
      <c r="J9" s="24" t="s">
        <v>1131</v>
      </c>
    </row>
    <row r="10" spans="1:10" ht="72" customHeight="1">
      <c r="A10" s="24" t="s">
        <v>725</v>
      </c>
      <c r="B10" s="24" t="s">
        <v>726</v>
      </c>
      <c r="C10" s="24" t="s">
        <v>149</v>
      </c>
      <c r="D10" s="24" t="s">
        <v>727</v>
      </c>
      <c r="E10" s="24" t="s">
        <v>728</v>
      </c>
      <c r="F10" s="24" t="s">
        <v>729</v>
      </c>
      <c r="G10" s="24">
        <v>0</v>
      </c>
      <c r="H10" s="26"/>
      <c r="I10" s="26" t="str">
        <f t="shared" si="0"/>
        <v/>
      </c>
      <c r="J10" s="24" t="s">
        <v>730</v>
      </c>
    </row>
    <row r="11" spans="1:10" ht="72" customHeight="1">
      <c r="A11" s="24" t="s">
        <v>731</v>
      </c>
      <c r="B11" s="24" t="s">
        <v>73</v>
      </c>
      <c r="C11" s="24" t="s">
        <v>74</v>
      </c>
      <c r="D11" s="24" t="s">
        <v>732</v>
      </c>
      <c r="E11" s="24" t="s">
        <v>1132</v>
      </c>
      <c r="F11" s="24" t="s">
        <v>1133</v>
      </c>
      <c r="G11" s="24">
        <v>0</v>
      </c>
      <c r="H11" s="26"/>
      <c r="I11" s="26" t="str">
        <f t="shared" si="0"/>
        <v/>
      </c>
      <c r="J11" s="24" t="s">
        <v>1134</v>
      </c>
    </row>
    <row r="12" spans="1:10" ht="72" customHeight="1">
      <c r="A12" s="24" t="s">
        <v>733</v>
      </c>
      <c r="B12" s="24" t="s">
        <v>726</v>
      </c>
      <c r="C12" s="24" t="s">
        <v>74</v>
      </c>
      <c r="D12" s="24" t="s">
        <v>734</v>
      </c>
      <c r="E12" s="24" t="s">
        <v>1135</v>
      </c>
      <c r="F12" s="24" t="s">
        <v>1136</v>
      </c>
      <c r="G12" s="24">
        <v>1</v>
      </c>
      <c r="H12" s="26"/>
      <c r="I12" s="26" t="str">
        <f t="shared" si="0"/>
        <v/>
      </c>
      <c r="J12" s="24" t="s">
        <v>1137</v>
      </c>
    </row>
    <row r="13" spans="1:10" ht="72" customHeight="1">
      <c r="A13" s="24" t="s">
        <v>735</v>
      </c>
      <c r="B13" s="24" t="s">
        <v>736</v>
      </c>
      <c r="C13" s="24" t="s">
        <v>737</v>
      </c>
      <c r="D13" s="24" t="s">
        <v>738</v>
      </c>
      <c r="E13" s="24" t="s">
        <v>739</v>
      </c>
      <c r="F13" s="24" t="s">
        <v>740</v>
      </c>
      <c r="G13" s="24">
        <v>0</v>
      </c>
      <c r="H13" s="26"/>
      <c r="I13" s="26" t="str">
        <f t="shared" si="0"/>
        <v/>
      </c>
      <c r="J13" s="24" t="s">
        <v>1138</v>
      </c>
    </row>
    <row r="14" spans="1:10" ht="72" customHeight="1">
      <c r="A14" s="24" t="s">
        <v>741</v>
      </c>
      <c r="B14" s="24" t="s">
        <v>742</v>
      </c>
      <c r="C14" s="24" t="s">
        <v>743</v>
      </c>
      <c r="D14" s="24" t="s">
        <v>744</v>
      </c>
      <c r="E14" s="24" t="s">
        <v>745</v>
      </c>
      <c r="F14" s="24" t="s">
        <v>746</v>
      </c>
      <c r="G14" s="24">
        <v>1</v>
      </c>
      <c r="H14" s="26"/>
      <c r="I14" s="26" t="str">
        <f t="shared" si="0"/>
        <v/>
      </c>
      <c r="J14" s="24" t="s">
        <v>747</v>
      </c>
    </row>
    <row r="15" spans="1:10" ht="81.95" customHeight="1">
      <c r="A15" s="24" t="s">
        <v>748</v>
      </c>
      <c r="B15" s="24" t="s">
        <v>749</v>
      </c>
      <c r="C15" s="24" t="s">
        <v>750</v>
      </c>
      <c r="D15" s="24" t="s">
        <v>751</v>
      </c>
      <c r="E15" s="24" t="s">
        <v>752</v>
      </c>
      <c r="F15" s="24" t="s">
        <v>753</v>
      </c>
      <c r="G15" s="24">
        <v>0</v>
      </c>
      <c r="H15" s="24"/>
      <c r="I15" s="24"/>
      <c r="J15" s="24" t="s">
        <v>754</v>
      </c>
    </row>
    <row r="17" spans="1:10" ht="30">
      <c r="A17" s="23" t="s">
        <v>755</v>
      </c>
      <c r="B17" s="23" t="s">
        <v>756</v>
      </c>
    </row>
    <row r="18" spans="1:10" ht="32.1" customHeight="1">
      <c r="A18" s="25" t="s">
        <v>1139</v>
      </c>
      <c r="B18" s="64">
        <v>4648.32</v>
      </c>
    </row>
    <row r="19" spans="1:10" ht="180">
      <c r="A19" s="25" t="s">
        <v>757</v>
      </c>
      <c r="B19" s="64"/>
    </row>
    <row r="20" spans="1:10" ht="32.1" customHeight="1">
      <c r="A20" s="25" t="s">
        <v>1140</v>
      </c>
      <c r="B20" s="64">
        <v>4648.32</v>
      </c>
    </row>
    <row r="21" spans="1:10">
      <c r="J21" t="s">
        <v>1141</v>
      </c>
    </row>
    <row r="22" spans="1:10" ht="26.45" customHeight="1">
      <c r="A22" s="81" t="s">
        <v>1142</v>
      </c>
      <c r="B22" s="81"/>
      <c r="C22" s="81"/>
      <c r="D22" s="81"/>
      <c r="E22" s="81"/>
      <c r="F22" s="81"/>
      <c r="G22" s="81"/>
      <c r="H22" s="81"/>
      <c r="I22" s="81"/>
      <c r="J22" s="81" t="s">
        <v>758</v>
      </c>
    </row>
  </sheetData>
  <mergeCells count="3">
    <mergeCell ref="A1:J1"/>
    <mergeCell ref="A2:J2"/>
    <mergeCell ref="A22:J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0"/>
  <sheetViews>
    <sheetView workbookViewId="0">
      <pane ySplit="4" topLeftCell="A5" activePane="bottomLeft" state="frozen"/>
      <selection pane="bottomLeft"/>
    </sheetView>
  </sheetViews>
  <sheetFormatPr defaultRowHeight="14.25"/>
  <cols>
    <col min="1" max="1" width="12" customWidth="1"/>
    <col min="2" max="2" width="27" customWidth="1"/>
    <col min="3" max="3" width="65" customWidth="1"/>
    <col min="4" max="4" width="26" customWidth="1"/>
    <col min="5" max="5" width="25" customWidth="1"/>
    <col min="6" max="6" width="28" customWidth="1"/>
    <col min="7" max="7" width="42" customWidth="1"/>
    <col min="8" max="8" width="58" customWidth="1"/>
  </cols>
  <sheetData>
    <row r="1" spans="1:8" ht="18">
      <c r="A1" s="72" t="s">
        <v>1143</v>
      </c>
      <c r="B1" s="72"/>
      <c r="C1" s="72"/>
      <c r="D1" s="72"/>
      <c r="E1" s="72"/>
      <c r="F1" s="72"/>
      <c r="G1" s="72"/>
      <c r="H1" s="72"/>
    </row>
    <row r="2" spans="1:8" ht="42" customHeight="1">
      <c r="A2" s="74" t="s">
        <v>1144</v>
      </c>
      <c r="B2" s="74"/>
      <c r="C2" s="74"/>
      <c r="D2" s="74"/>
      <c r="E2" s="74"/>
      <c r="F2" s="74"/>
      <c r="G2" s="74"/>
      <c r="H2" s="74"/>
    </row>
    <row r="4" spans="1:8" ht="32.1" customHeight="1">
      <c r="A4" s="23" t="s">
        <v>694</v>
      </c>
      <c r="B4" s="23" t="s">
        <v>759</v>
      </c>
      <c r="C4" s="23" t="s">
        <v>760</v>
      </c>
      <c r="D4" s="23" t="s">
        <v>213</v>
      </c>
      <c r="E4" s="23" t="s">
        <v>378</v>
      </c>
      <c r="F4" s="23" t="s">
        <v>761</v>
      </c>
      <c r="G4" s="23" t="s">
        <v>762</v>
      </c>
      <c r="H4" s="23" t="s">
        <v>763</v>
      </c>
    </row>
    <row r="5" spans="1:8" ht="145.15" customHeight="1">
      <c r="A5" s="24" t="s">
        <v>764</v>
      </c>
      <c r="B5" s="24" t="s">
        <v>765</v>
      </c>
      <c r="C5" s="24" t="s">
        <v>1145</v>
      </c>
      <c r="D5" s="24" t="s">
        <v>766</v>
      </c>
      <c r="E5" s="24" t="s">
        <v>767</v>
      </c>
      <c r="F5" s="24" t="s">
        <v>1146</v>
      </c>
      <c r="G5" s="24" t="s">
        <v>1147</v>
      </c>
      <c r="H5" s="24" t="s">
        <v>768</v>
      </c>
    </row>
    <row r="6" spans="1:8" ht="79.150000000000006" customHeight="1">
      <c r="A6" s="24" t="s">
        <v>769</v>
      </c>
      <c r="B6" s="24" t="s">
        <v>1148</v>
      </c>
      <c r="C6" s="24" t="s">
        <v>1149</v>
      </c>
      <c r="D6" s="24" t="s">
        <v>1150</v>
      </c>
      <c r="E6" s="24" t="s">
        <v>514</v>
      </c>
      <c r="F6" s="24" t="s">
        <v>1151</v>
      </c>
      <c r="G6" s="24" t="s">
        <v>1152</v>
      </c>
      <c r="H6" s="24" t="s">
        <v>1153</v>
      </c>
    </row>
    <row r="7" spans="1:8" ht="69.95" customHeight="1">
      <c r="A7" s="24" t="s">
        <v>770</v>
      </c>
      <c r="B7" s="24" t="s">
        <v>771</v>
      </c>
      <c r="C7" s="24" t="s">
        <v>1154</v>
      </c>
      <c r="D7" s="24" t="s">
        <v>1155</v>
      </c>
      <c r="E7" s="24" t="s">
        <v>772</v>
      </c>
      <c r="F7" s="24" t="s">
        <v>773</v>
      </c>
      <c r="G7" s="24" t="s">
        <v>1156</v>
      </c>
      <c r="H7" s="24" t="s">
        <v>774</v>
      </c>
    </row>
    <row r="8" spans="1:8" ht="78" customHeight="1">
      <c r="A8" s="24" t="s">
        <v>775</v>
      </c>
      <c r="B8" s="24" t="s">
        <v>1157</v>
      </c>
      <c r="C8" s="24" t="s">
        <v>1158</v>
      </c>
      <c r="D8" s="24" t="s">
        <v>1159</v>
      </c>
      <c r="E8" s="24" t="s">
        <v>403</v>
      </c>
      <c r="F8" s="24" t="s">
        <v>1160</v>
      </c>
      <c r="G8" s="24" t="s">
        <v>1161</v>
      </c>
      <c r="H8" s="24" t="s">
        <v>1162</v>
      </c>
    </row>
    <row r="9" spans="1:8" ht="78" customHeight="1">
      <c r="A9" s="24" t="s">
        <v>776</v>
      </c>
      <c r="B9" s="24" t="s">
        <v>1163</v>
      </c>
      <c r="C9" s="24" t="s">
        <v>1164</v>
      </c>
      <c r="D9" s="24" t="s">
        <v>1165</v>
      </c>
      <c r="E9" s="24" t="s">
        <v>1166</v>
      </c>
      <c r="F9" s="24" t="s">
        <v>1167</v>
      </c>
      <c r="G9" s="24" t="s">
        <v>1168</v>
      </c>
      <c r="H9" s="24" t="s">
        <v>1169</v>
      </c>
    </row>
    <row r="10" spans="1:8" ht="78" customHeight="1">
      <c r="A10" s="24" t="s">
        <v>777</v>
      </c>
      <c r="B10" s="24" t="s">
        <v>778</v>
      </c>
      <c r="C10" s="24" t="s">
        <v>779</v>
      </c>
      <c r="D10" s="24" t="s">
        <v>780</v>
      </c>
      <c r="E10" s="24" t="s">
        <v>482</v>
      </c>
      <c r="F10" s="24" t="s">
        <v>781</v>
      </c>
      <c r="G10" s="24" t="s">
        <v>782</v>
      </c>
      <c r="H10" s="24" t="s">
        <v>680</v>
      </c>
    </row>
    <row r="11" spans="1:8" ht="78" customHeight="1">
      <c r="A11" s="24" t="s">
        <v>783</v>
      </c>
      <c r="B11" s="24" t="s">
        <v>784</v>
      </c>
      <c r="C11" s="24" t="s">
        <v>785</v>
      </c>
      <c r="D11" s="24" t="s">
        <v>786</v>
      </c>
      <c r="E11" s="24" t="s">
        <v>482</v>
      </c>
      <c r="F11" s="24" t="s">
        <v>787</v>
      </c>
      <c r="G11" s="24" t="s">
        <v>788</v>
      </c>
      <c r="H11" s="24" t="s">
        <v>112</v>
      </c>
    </row>
    <row r="12" spans="1:8" ht="78" customHeight="1">
      <c r="A12" s="24" t="s">
        <v>789</v>
      </c>
      <c r="B12" s="24" t="s">
        <v>790</v>
      </c>
      <c r="C12" s="24" t="s">
        <v>791</v>
      </c>
      <c r="D12" s="24" t="s">
        <v>792</v>
      </c>
      <c r="E12" s="24" t="s">
        <v>793</v>
      </c>
      <c r="F12" s="24" t="s">
        <v>794</v>
      </c>
      <c r="G12" s="24" t="s">
        <v>795</v>
      </c>
      <c r="H12" s="24" t="s">
        <v>796</v>
      </c>
    </row>
    <row r="13" spans="1:8" ht="78" customHeight="1">
      <c r="A13" s="24" t="s">
        <v>797</v>
      </c>
      <c r="B13" s="24" t="s">
        <v>798</v>
      </c>
      <c r="C13" s="24" t="s">
        <v>1170</v>
      </c>
      <c r="D13" s="24" t="s">
        <v>1171</v>
      </c>
      <c r="E13" s="24" t="s">
        <v>514</v>
      </c>
      <c r="F13" s="24" t="s">
        <v>799</v>
      </c>
      <c r="G13" s="24" t="s">
        <v>1172</v>
      </c>
      <c r="H13" s="24" t="s">
        <v>1173</v>
      </c>
    </row>
    <row r="14" spans="1:8" ht="78" customHeight="1">
      <c r="A14" s="24" t="s">
        <v>800</v>
      </c>
      <c r="B14" s="24" t="s">
        <v>801</v>
      </c>
      <c r="C14" s="24" t="s">
        <v>802</v>
      </c>
      <c r="D14" s="24" t="s">
        <v>803</v>
      </c>
      <c r="E14" s="24" t="s">
        <v>804</v>
      </c>
      <c r="F14" s="24" t="s">
        <v>805</v>
      </c>
      <c r="G14" s="24" t="s">
        <v>806</v>
      </c>
      <c r="H14" s="24" t="s">
        <v>807</v>
      </c>
    </row>
    <row r="15" spans="1:8" ht="78" customHeight="1">
      <c r="A15" s="24" t="s">
        <v>808</v>
      </c>
      <c r="B15" s="24" t="s">
        <v>809</v>
      </c>
      <c r="C15" s="24" t="s">
        <v>810</v>
      </c>
      <c r="D15" s="24" t="s">
        <v>811</v>
      </c>
      <c r="E15" s="24" t="s">
        <v>812</v>
      </c>
      <c r="F15" s="24" t="s">
        <v>813</v>
      </c>
      <c r="G15" s="24" t="s">
        <v>814</v>
      </c>
      <c r="H15" s="24" t="s">
        <v>815</v>
      </c>
    </row>
    <row r="16" spans="1:8" ht="78" customHeight="1">
      <c r="A16" s="24" t="s">
        <v>816</v>
      </c>
      <c r="B16" s="24" t="s">
        <v>817</v>
      </c>
      <c r="C16" s="24" t="s">
        <v>818</v>
      </c>
      <c r="D16" s="24" t="s">
        <v>803</v>
      </c>
      <c r="E16" s="24" t="s">
        <v>403</v>
      </c>
      <c r="F16" s="24" t="s">
        <v>819</v>
      </c>
      <c r="G16" s="24" t="s">
        <v>820</v>
      </c>
      <c r="H16" s="24" t="s">
        <v>821</v>
      </c>
    </row>
    <row r="17" spans="1:8" ht="78" customHeight="1">
      <c r="A17" s="24" t="s">
        <v>822</v>
      </c>
      <c r="B17" s="24" t="s">
        <v>823</v>
      </c>
      <c r="C17" s="24" t="s">
        <v>824</v>
      </c>
      <c r="D17" s="24" t="s">
        <v>803</v>
      </c>
      <c r="E17" s="24" t="s">
        <v>825</v>
      </c>
      <c r="F17" s="24" t="s">
        <v>819</v>
      </c>
      <c r="G17" s="24" t="s">
        <v>826</v>
      </c>
      <c r="H17" s="24" t="s">
        <v>827</v>
      </c>
    </row>
    <row r="18" spans="1:8" ht="78" customHeight="1">
      <c r="A18" s="24" t="s">
        <v>828</v>
      </c>
      <c r="B18" s="24" t="s">
        <v>829</v>
      </c>
      <c r="C18" s="24" t="s">
        <v>1174</v>
      </c>
      <c r="D18" s="24" t="s">
        <v>1175</v>
      </c>
      <c r="E18" s="24" t="s">
        <v>482</v>
      </c>
      <c r="F18" s="24" t="s">
        <v>1176</v>
      </c>
      <c r="G18" s="24" t="s">
        <v>1177</v>
      </c>
      <c r="H18" s="24" t="s">
        <v>830</v>
      </c>
    </row>
    <row r="19" spans="1:8" ht="78" customHeight="1">
      <c r="A19" s="24" t="s">
        <v>831</v>
      </c>
      <c r="B19" s="24" t="s">
        <v>832</v>
      </c>
      <c r="C19" s="24" t="s">
        <v>833</v>
      </c>
      <c r="D19" s="24" t="s">
        <v>834</v>
      </c>
      <c r="E19" s="24" t="s">
        <v>482</v>
      </c>
      <c r="F19" s="24" t="s">
        <v>835</v>
      </c>
      <c r="G19" s="24" t="s">
        <v>836</v>
      </c>
      <c r="H19" s="24" t="s">
        <v>837</v>
      </c>
    </row>
    <row r="20" spans="1:8" ht="78" customHeight="1">
      <c r="A20" s="24" t="s">
        <v>838</v>
      </c>
      <c r="B20" s="24" t="s">
        <v>839</v>
      </c>
      <c r="C20" s="24" t="s">
        <v>840</v>
      </c>
      <c r="D20" s="24" t="s">
        <v>841</v>
      </c>
      <c r="E20" s="24" t="s">
        <v>514</v>
      </c>
      <c r="F20" s="24" t="s">
        <v>805</v>
      </c>
      <c r="G20" s="24" t="s">
        <v>842</v>
      </c>
      <c r="H20" s="24" t="s">
        <v>843</v>
      </c>
    </row>
    <row r="21" spans="1:8" ht="66" customHeight="1">
      <c r="A21" s="24" t="s">
        <v>844</v>
      </c>
      <c r="B21" s="24" t="s">
        <v>845</v>
      </c>
      <c r="C21" s="24" t="s">
        <v>846</v>
      </c>
      <c r="D21" s="24" t="s">
        <v>847</v>
      </c>
      <c r="E21" s="24" t="s">
        <v>848</v>
      </c>
      <c r="F21" s="24" t="s">
        <v>849</v>
      </c>
      <c r="G21" s="24" t="s">
        <v>850</v>
      </c>
      <c r="H21" s="24" t="s">
        <v>851</v>
      </c>
    </row>
    <row r="22" spans="1:8" ht="66" customHeight="1">
      <c r="A22" s="24" t="s">
        <v>852</v>
      </c>
      <c r="B22" s="24" t="s">
        <v>853</v>
      </c>
      <c r="C22" s="24" t="s">
        <v>854</v>
      </c>
      <c r="D22" s="24" t="s">
        <v>855</v>
      </c>
      <c r="E22" s="24" t="s">
        <v>514</v>
      </c>
      <c r="F22" s="24" t="s">
        <v>856</v>
      </c>
      <c r="G22" s="24" t="s">
        <v>857</v>
      </c>
      <c r="H22" s="24" t="s">
        <v>858</v>
      </c>
    </row>
    <row r="23" spans="1:8" ht="52.7" customHeight="1">
      <c r="A23" s="24" t="s">
        <v>859</v>
      </c>
      <c r="B23" s="24" t="s">
        <v>860</v>
      </c>
      <c r="C23" s="24" t="s">
        <v>861</v>
      </c>
      <c r="D23" s="24" t="s">
        <v>862</v>
      </c>
      <c r="E23" s="24" t="s">
        <v>403</v>
      </c>
      <c r="F23" s="24" t="s">
        <v>863</v>
      </c>
      <c r="G23" s="24" t="s">
        <v>864</v>
      </c>
      <c r="H23" s="24" t="s">
        <v>865</v>
      </c>
    </row>
    <row r="24" spans="1:8" ht="92.45" customHeight="1">
      <c r="A24" s="24" t="s">
        <v>866</v>
      </c>
      <c r="B24" s="24" t="s">
        <v>867</v>
      </c>
      <c r="C24" s="24" t="s">
        <v>868</v>
      </c>
      <c r="D24" s="24" t="s">
        <v>869</v>
      </c>
      <c r="E24" s="24" t="s">
        <v>403</v>
      </c>
      <c r="F24" s="24" t="s">
        <v>870</v>
      </c>
      <c r="G24" s="24" t="s">
        <v>871</v>
      </c>
      <c r="H24" s="24" t="s">
        <v>872</v>
      </c>
    </row>
    <row r="25" spans="1:8" ht="81.95" customHeight="1">
      <c r="A25" s="24" t="s">
        <v>873</v>
      </c>
      <c r="B25" s="24" t="s">
        <v>874</v>
      </c>
      <c r="C25" s="24" t="s">
        <v>1178</v>
      </c>
      <c r="D25" s="24" t="s">
        <v>1179</v>
      </c>
      <c r="E25" s="24" t="s">
        <v>514</v>
      </c>
      <c r="F25" s="24" t="s">
        <v>1180</v>
      </c>
      <c r="G25" s="24" t="s">
        <v>1181</v>
      </c>
      <c r="H25" s="24" t="s">
        <v>1182</v>
      </c>
    </row>
    <row r="26" spans="1:8">
      <c r="A26" t="s">
        <v>1183</v>
      </c>
      <c r="B26" t="s">
        <v>1184</v>
      </c>
      <c r="C26" t="s">
        <v>1185</v>
      </c>
      <c r="D26" t="s">
        <v>1186</v>
      </c>
      <c r="E26" t="s">
        <v>403</v>
      </c>
      <c r="F26" t="s">
        <v>1187</v>
      </c>
      <c r="G26" t="s">
        <v>1188</v>
      </c>
      <c r="H26" t="s">
        <v>947</v>
      </c>
    </row>
    <row r="27" spans="1:8">
      <c r="A27" t="s">
        <v>1189</v>
      </c>
      <c r="B27" t="s">
        <v>1190</v>
      </c>
      <c r="C27" t="s">
        <v>1191</v>
      </c>
      <c r="D27" t="s">
        <v>1192</v>
      </c>
      <c r="E27" t="s">
        <v>514</v>
      </c>
      <c r="F27" t="s">
        <v>1193</v>
      </c>
      <c r="G27" t="s">
        <v>1194</v>
      </c>
      <c r="H27" t="s">
        <v>1195</v>
      </c>
    </row>
    <row r="28" spans="1:8">
      <c r="A28" t="s">
        <v>1196</v>
      </c>
      <c r="B28" t="s">
        <v>1197</v>
      </c>
      <c r="C28" t="s">
        <v>1198</v>
      </c>
      <c r="D28" t="s">
        <v>1199</v>
      </c>
      <c r="E28" t="s">
        <v>403</v>
      </c>
      <c r="F28" t="s">
        <v>1200</v>
      </c>
      <c r="G28" t="s">
        <v>1201</v>
      </c>
      <c r="H28" t="s">
        <v>1202</v>
      </c>
    </row>
    <row r="29" spans="1:8">
      <c r="A29" t="s">
        <v>1203</v>
      </c>
      <c r="B29" t="s">
        <v>1204</v>
      </c>
      <c r="C29" t="s">
        <v>1205</v>
      </c>
      <c r="D29" t="s">
        <v>1206</v>
      </c>
      <c r="E29" t="s">
        <v>1166</v>
      </c>
      <c r="F29" t="s">
        <v>1207</v>
      </c>
      <c r="G29" t="s">
        <v>1208</v>
      </c>
      <c r="H29" t="s">
        <v>361</v>
      </c>
    </row>
    <row r="30" spans="1:8">
      <c r="A30" t="s">
        <v>1209</v>
      </c>
      <c r="B30" t="s">
        <v>1210</v>
      </c>
      <c r="C30" t="s">
        <v>1211</v>
      </c>
      <c r="D30" t="s">
        <v>1212</v>
      </c>
      <c r="E30" t="s">
        <v>514</v>
      </c>
      <c r="F30" t="s">
        <v>1213</v>
      </c>
      <c r="G30" t="s">
        <v>1214</v>
      </c>
      <c r="H30" t="s">
        <v>958</v>
      </c>
    </row>
  </sheetData>
  <mergeCells count="2">
    <mergeCell ref="A1:H1"/>
    <mergeCell ref="A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
  <sheetViews>
    <sheetView workbookViewId="0">
      <pane ySplit="3" topLeftCell="A4" activePane="bottomLeft" state="frozen"/>
      <selection pane="bottomLeft"/>
    </sheetView>
  </sheetViews>
  <sheetFormatPr defaultRowHeight="14.25"/>
  <cols>
    <col min="1" max="1" width="12" customWidth="1"/>
    <col min="2" max="2" width="16" customWidth="1"/>
    <col min="3" max="3" width="30" customWidth="1"/>
    <col min="4" max="4" width="72" customWidth="1"/>
    <col min="5" max="5" width="70" customWidth="1"/>
  </cols>
  <sheetData>
    <row r="1" spans="1:5" ht="18">
      <c r="A1" s="72" t="s">
        <v>1215</v>
      </c>
      <c r="B1" s="72"/>
      <c r="C1" s="72"/>
      <c r="D1" s="72"/>
      <c r="E1" s="72"/>
    </row>
    <row r="3" spans="1:5" ht="32.1" customHeight="1">
      <c r="A3" s="23" t="s">
        <v>875</v>
      </c>
      <c r="B3" s="23" t="s">
        <v>876</v>
      </c>
      <c r="C3" s="23" t="s">
        <v>213</v>
      </c>
      <c r="D3" s="23" t="s">
        <v>877</v>
      </c>
      <c r="E3" s="23" t="s">
        <v>762</v>
      </c>
    </row>
    <row r="4" spans="1:5" ht="69.95" customHeight="1">
      <c r="A4" s="24" t="s">
        <v>878</v>
      </c>
      <c r="B4" s="24" t="s">
        <v>879</v>
      </c>
      <c r="C4" s="24" t="s">
        <v>880</v>
      </c>
      <c r="D4" s="24" t="s">
        <v>881</v>
      </c>
      <c r="E4" s="24" t="s">
        <v>882</v>
      </c>
    </row>
    <row r="5" spans="1:5" ht="69.95" customHeight="1">
      <c r="A5" s="24" t="s">
        <v>883</v>
      </c>
      <c r="B5" s="24" t="s">
        <v>884</v>
      </c>
      <c r="C5" s="24" t="s">
        <v>885</v>
      </c>
      <c r="D5" s="24" t="s">
        <v>886</v>
      </c>
      <c r="E5" s="24" t="s">
        <v>887</v>
      </c>
    </row>
    <row r="6" spans="1:5" ht="117.95" customHeight="1">
      <c r="A6" s="24" t="s">
        <v>888</v>
      </c>
      <c r="B6" s="24" t="s">
        <v>889</v>
      </c>
      <c r="C6" s="24" t="s">
        <v>890</v>
      </c>
      <c r="D6" s="24" t="s">
        <v>891</v>
      </c>
      <c r="E6" s="24" t="s">
        <v>892</v>
      </c>
    </row>
    <row r="7" spans="1:5" ht="80.099999999999994" customHeight="1">
      <c r="A7" s="9" t="s">
        <v>1216</v>
      </c>
      <c r="B7" s="9" t="s">
        <v>1217</v>
      </c>
      <c r="C7" s="9" t="s">
        <v>1218</v>
      </c>
      <c r="D7" s="9" t="s">
        <v>1219</v>
      </c>
      <c r="E7" s="9" t="s">
        <v>1220</v>
      </c>
    </row>
    <row r="8" spans="1:5" ht="84" customHeight="1">
      <c r="A8" s="9" t="s">
        <v>1221</v>
      </c>
      <c r="B8" s="9" t="s">
        <v>1222</v>
      </c>
      <c r="C8" s="9" t="s">
        <v>1223</v>
      </c>
      <c r="D8" s="9" t="s">
        <v>1224</v>
      </c>
      <c r="E8" s="9" t="s">
        <v>1225</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9"/>
  <sheetViews>
    <sheetView workbookViewId="0"/>
  </sheetViews>
  <sheetFormatPr defaultRowHeight="14.25"/>
  <cols>
    <col min="1" max="1" width="10" customWidth="1"/>
    <col min="2" max="2" width="9" customWidth="1"/>
    <col min="3" max="3" width="27" customWidth="1"/>
    <col min="4" max="4" width="44" customWidth="1"/>
    <col min="5" max="5" width="53" customWidth="1"/>
    <col min="6" max="6" width="42" customWidth="1"/>
  </cols>
  <sheetData>
    <row r="1" spans="1:6" ht="30" customHeight="1">
      <c r="A1" s="82" t="s">
        <v>1226</v>
      </c>
      <c r="B1" s="82"/>
      <c r="C1" s="82"/>
      <c r="D1" s="82"/>
      <c r="E1" s="82"/>
      <c r="F1" s="82"/>
    </row>
    <row r="2" spans="1:6" ht="48" customHeight="1">
      <c r="A2" s="83" t="s">
        <v>1227</v>
      </c>
      <c r="B2" s="83"/>
      <c r="C2" s="83"/>
      <c r="D2" s="83"/>
      <c r="E2" s="83"/>
      <c r="F2" s="83"/>
    </row>
    <row r="4" spans="1:6" ht="32.1" customHeight="1">
      <c r="A4" s="29" t="s">
        <v>58</v>
      </c>
      <c r="B4" s="29" t="s">
        <v>65</v>
      </c>
      <c r="C4" s="29" t="s">
        <v>893</v>
      </c>
      <c r="D4" s="29" t="s">
        <v>894</v>
      </c>
      <c r="E4" s="29" t="s">
        <v>895</v>
      </c>
      <c r="F4" s="29" t="s">
        <v>896</v>
      </c>
    </row>
    <row r="5" spans="1:6" ht="63.95" customHeight="1">
      <c r="A5" s="24" t="s">
        <v>72</v>
      </c>
      <c r="B5" s="24">
        <v>1</v>
      </c>
      <c r="C5" s="24" t="s">
        <v>1228</v>
      </c>
      <c r="D5" s="24" t="s">
        <v>1229</v>
      </c>
      <c r="E5" s="24" t="s">
        <v>1230</v>
      </c>
      <c r="F5" s="24" t="s">
        <v>78</v>
      </c>
    </row>
    <row r="6" spans="1:6" ht="63.95" customHeight="1">
      <c r="A6" s="24" t="s">
        <v>85</v>
      </c>
      <c r="B6" s="24">
        <v>2</v>
      </c>
      <c r="C6" s="24" t="s">
        <v>1231</v>
      </c>
      <c r="D6" s="24" t="s">
        <v>1232</v>
      </c>
      <c r="E6" s="24" t="s">
        <v>1233</v>
      </c>
      <c r="F6" s="24" t="s">
        <v>361</v>
      </c>
    </row>
    <row r="7" spans="1:6" ht="95.1" customHeight="1">
      <c r="A7" s="24" t="s">
        <v>89</v>
      </c>
      <c r="B7" s="24">
        <v>3</v>
      </c>
      <c r="C7" s="24" t="s">
        <v>1234</v>
      </c>
      <c r="D7" s="24" t="s">
        <v>1235</v>
      </c>
      <c r="E7" s="24" t="s">
        <v>1236</v>
      </c>
      <c r="F7" s="24" t="s">
        <v>1237</v>
      </c>
    </row>
    <row r="8" spans="1:6" ht="63.95" customHeight="1">
      <c r="A8" s="24" t="s">
        <v>94</v>
      </c>
      <c r="B8" s="24">
        <v>5</v>
      </c>
      <c r="C8" s="24" t="s">
        <v>1238</v>
      </c>
      <c r="D8" s="24" t="s">
        <v>1239</v>
      </c>
      <c r="E8" s="24" t="s">
        <v>1240</v>
      </c>
      <c r="F8" s="24" t="s">
        <v>98</v>
      </c>
    </row>
    <row r="9" spans="1:6" ht="63.95" customHeight="1">
      <c r="A9" s="24" t="s">
        <v>102</v>
      </c>
      <c r="B9" s="24">
        <v>1</v>
      </c>
      <c r="C9" s="24" t="s">
        <v>1241</v>
      </c>
      <c r="D9" s="24" t="s">
        <v>1242</v>
      </c>
      <c r="E9" s="24" t="s">
        <v>1243</v>
      </c>
      <c r="F9" s="24" t="s">
        <v>1202</v>
      </c>
    </row>
    <row r="10" spans="1:6" ht="63.95" customHeight="1">
      <c r="A10" s="24" t="s">
        <v>104</v>
      </c>
      <c r="B10" s="24">
        <v>2</v>
      </c>
      <c r="C10" s="24" t="s">
        <v>1244</v>
      </c>
      <c r="D10" s="24" t="s">
        <v>1245</v>
      </c>
      <c r="E10" s="24" t="s">
        <v>1246</v>
      </c>
      <c r="F10" s="24" t="s">
        <v>947</v>
      </c>
    </row>
    <row r="11" spans="1:6" ht="63.95" customHeight="1">
      <c r="A11" s="24" t="s">
        <v>106</v>
      </c>
      <c r="B11" s="24">
        <v>2</v>
      </c>
      <c r="C11" s="24" t="s">
        <v>1247</v>
      </c>
      <c r="D11" s="24" t="s">
        <v>1248</v>
      </c>
      <c r="E11" s="24" t="s">
        <v>1249</v>
      </c>
      <c r="F11" s="24" t="s">
        <v>110</v>
      </c>
    </row>
    <row r="12" spans="1:6" ht="63.95" customHeight="1">
      <c r="A12" s="24" t="s">
        <v>113</v>
      </c>
      <c r="B12" s="24">
        <v>4</v>
      </c>
      <c r="C12" s="24" t="s">
        <v>1250</v>
      </c>
      <c r="D12" s="24" t="s">
        <v>1251</v>
      </c>
      <c r="E12" s="24" t="s">
        <v>1252</v>
      </c>
      <c r="F12" s="24" t="s">
        <v>958</v>
      </c>
    </row>
    <row r="13" spans="1:6" ht="63.95" customHeight="1">
      <c r="A13" s="24" t="s">
        <v>117</v>
      </c>
      <c r="B13" s="24">
        <v>1</v>
      </c>
      <c r="C13" s="24" t="s">
        <v>1253</v>
      </c>
      <c r="D13" s="24" t="s">
        <v>1254</v>
      </c>
      <c r="E13" s="24" t="s">
        <v>1255</v>
      </c>
      <c r="F13" s="24" t="s">
        <v>121</v>
      </c>
    </row>
    <row r="14" spans="1:6" ht="63.95" customHeight="1">
      <c r="A14" s="24" t="s">
        <v>128</v>
      </c>
      <c r="B14" s="24">
        <v>1</v>
      </c>
      <c r="C14" s="24" t="s">
        <v>1256</v>
      </c>
      <c r="D14" s="24" t="s">
        <v>1257</v>
      </c>
      <c r="E14" s="24" t="s">
        <v>1255</v>
      </c>
      <c r="F14" s="24" t="s">
        <v>132</v>
      </c>
    </row>
    <row r="15" spans="1:6" ht="63.95" customHeight="1">
      <c r="A15" s="24" t="s">
        <v>139</v>
      </c>
      <c r="B15" s="24">
        <v>1</v>
      </c>
      <c r="C15" s="24" t="s">
        <v>1258</v>
      </c>
      <c r="D15" s="24" t="s">
        <v>1259</v>
      </c>
      <c r="E15" s="24" t="s">
        <v>1260</v>
      </c>
      <c r="F15" s="24" t="s">
        <v>1202</v>
      </c>
    </row>
    <row r="16" spans="1:6" ht="63.95" customHeight="1">
      <c r="A16" s="24" t="s">
        <v>144</v>
      </c>
      <c r="B16" s="24">
        <v>1</v>
      </c>
      <c r="C16" s="24" t="s">
        <v>1261</v>
      </c>
      <c r="D16" s="24" t="s">
        <v>1262</v>
      </c>
      <c r="E16" s="24" t="s">
        <v>1263</v>
      </c>
      <c r="F16" s="24" t="s">
        <v>969</v>
      </c>
    </row>
    <row r="17" spans="1:6" ht="63.95" customHeight="1">
      <c r="A17" s="24" t="s">
        <v>147</v>
      </c>
      <c r="B17" s="24">
        <v>3</v>
      </c>
      <c r="C17" s="24" t="s">
        <v>1264</v>
      </c>
      <c r="D17" s="24" t="s">
        <v>1265</v>
      </c>
      <c r="E17" s="24" t="s">
        <v>1266</v>
      </c>
      <c r="F17" s="24" t="s">
        <v>1202</v>
      </c>
    </row>
    <row r="18" spans="1:6" ht="63.95" customHeight="1">
      <c r="A18" s="24" t="s">
        <v>701</v>
      </c>
      <c r="B18" s="24">
        <v>0</v>
      </c>
      <c r="C18" s="24" t="s">
        <v>1267</v>
      </c>
      <c r="D18" s="24" t="s">
        <v>1268</v>
      </c>
      <c r="E18" s="24" t="s">
        <v>1269</v>
      </c>
      <c r="F18" s="24" t="s">
        <v>1270</v>
      </c>
    </row>
    <row r="19" spans="1:6" ht="63.95" customHeight="1">
      <c r="A19" s="24" t="s">
        <v>195</v>
      </c>
      <c r="B19" s="24">
        <v>0</v>
      </c>
      <c r="C19" s="24" t="s">
        <v>1271</v>
      </c>
      <c r="D19" s="24" t="s">
        <v>1272</v>
      </c>
      <c r="E19" s="24" t="s">
        <v>1273</v>
      </c>
      <c r="F19" s="24" t="s">
        <v>1274</v>
      </c>
    </row>
    <row r="20" spans="1:6" ht="63.95" customHeight="1">
      <c r="A20" s="24" t="s">
        <v>707</v>
      </c>
      <c r="B20" s="24">
        <v>0</v>
      </c>
      <c r="C20" s="24" t="s">
        <v>1275</v>
      </c>
      <c r="D20" s="24" t="s">
        <v>1276</v>
      </c>
      <c r="E20" s="24" t="s">
        <v>1277</v>
      </c>
      <c r="F20" s="24" t="s">
        <v>1278</v>
      </c>
    </row>
    <row r="21" spans="1:6" ht="63.95" customHeight="1">
      <c r="A21" s="24" t="s">
        <v>714</v>
      </c>
      <c r="B21" s="24">
        <v>0</v>
      </c>
      <c r="C21" s="24" t="s">
        <v>1279</v>
      </c>
      <c r="D21" s="24" t="s">
        <v>1280</v>
      </c>
      <c r="E21" s="24" t="s">
        <v>1281</v>
      </c>
      <c r="F21" s="24" t="s">
        <v>112</v>
      </c>
    </row>
    <row r="22" spans="1:6" ht="63.95" customHeight="1">
      <c r="A22" s="24" t="s">
        <v>723</v>
      </c>
      <c r="B22" s="24">
        <v>0</v>
      </c>
      <c r="C22" s="24" t="s">
        <v>1282</v>
      </c>
      <c r="D22" s="24" t="s">
        <v>1283</v>
      </c>
      <c r="E22" s="24" t="s">
        <v>1284</v>
      </c>
      <c r="F22" s="24" t="s">
        <v>947</v>
      </c>
    </row>
    <row r="23" spans="1:6" ht="63.95" customHeight="1">
      <c r="A23" s="24" t="s">
        <v>725</v>
      </c>
      <c r="B23" s="24">
        <v>0</v>
      </c>
      <c r="C23" s="24" t="s">
        <v>1285</v>
      </c>
      <c r="D23" s="24" t="s">
        <v>1286</v>
      </c>
      <c r="E23" s="24" t="s">
        <v>1287</v>
      </c>
      <c r="F23" s="24" t="s">
        <v>1288</v>
      </c>
    </row>
    <row r="24" spans="1:6" ht="63.95" customHeight="1">
      <c r="A24" s="24" t="s">
        <v>735</v>
      </c>
      <c r="B24" s="24">
        <v>0</v>
      </c>
      <c r="C24" s="24" t="s">
        <v>1289</v>
      </c>
      <c r="D24" s="24" t="s">
        <v>1290</v>
      </c>
      <c r="E24" s="24" t="s">
        <v>1291</v>
      </c>
      <c r="F24" s="24" t="s">
        <v>1292</v>
      </c>
    </row>
    <row r="25" spans="1:6" ht="63.95" customHeight="1">
      <c r="A25" s="24" t="s">
        <v>741</v>
      </c>
      <c r="B25" s="24">
        <v>0</v>
      </c>
      <c r="C25" s="24" t="s">
        <v>1293</v>
      </c>
      <c r="D25" s="24" t="s">
        <v>1294</v>
      </c>
      <c r="E25" s="24" t="s">
        <v>1295</v>
      </c>
      <c r="F25" s="24" t="s">
        <v>1296</v>
      </c>
    </row>
    <row r="26" spans="1:6" ht="63.95" customHeight="1">
      <c r="A26" s="24" t="s">
        <v>748</v>
      </c>
      <c r="B26" s="24">
        <v>0</v>
      </c>
      <c r="C26" s="24" t="s">
        <v>1297</v>
      </c>
      <c r="D26" s="24" t="s">
        <v>1298</v>
      </c>
      <c r="E26" s="24" t="s">
        <v>1299</v>
      </c>
      <c r="F26" s="24" t="s">
        <v>345</v>
      </c>
    </row>
    <row r="27" spans="1:6" ht="54.95" customHeight="1">
      <c r="A27" s="24" t="s">
        <v>721</v>
      </c>
      <c r="B27" s="24">
        <v>0</v>
      </c>
      <c r="C27" s="24" t="s">
        <v>1300</v>
      </c>
      <c r="D27" s="24" t="s">
        <v>1301</v>
      </c>
      <c r="E27" s="24" t="s">
        <v>1302</v>
      </c>
      <c r="F27" s="24" t="s">
        <v>947</v>
      </c>
    </row>
    <row r="28" spans="1:6" ht="54.95" customHeight="1">
      <c r="A28" s="24" t="s">
        <v>731</v>
      </c>
      <c r="B28" s="24">
        <v>0</v>
      </c>
      <c r="C28" s="24" t="s">
        <v>1303</v>
      </c>
      <c r="D28" s="24" t="s">
        <v>1304</v>
      </c>
      <c r="E28" s="24" t="s">
        <v>1305</v>
      </c>
      <c r="F28" s="24" t="s">
        <v>1306</v>
      </c>
    </row>
    <row r="29" spans="1:6" ht="54.95" customHeight="1">
      <c r="A29" s="9" t="s">
        <v>733</v>
      </c>
      <c r="B29" s="9">
        <v>1</v>
      </c>
      <c r="C29" s="9" t="s">
        <v>1307</v>
      </c>
      <c r="D29" s="9" t="s">
        <v>1308</v>
      </c>
      <c r="E29" s="9" t="s">
        <v>1309</v>
      </c>
      <c r="F29" s="9" t="s">
        <v>980</v>
      </c>
    </row>
  </sheetData>
  <mergeCells count="2">
    <mergeCell ref="A1:F1"/>
    <mergeCell ref="A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
  <sheetViews>
    <sheetView workbookViewId="0">
      <pane ySplit="5" topLeftCell="A6" activePane="bottomLeft" state="frozen"/>
      <selection pane="bottomLeft"/>
    </sheetView>
  </sheetViews>
  <sheetFormatPr defaultRowHeight="14.25"/>
  <cols>
    <col min="1" max="2" width="26" customWidth="1"/>
    <col min="3" max="3" width="18" customWidth="1"/>
    <col min="4" max="4" width="15" customWidth="1"/>
    <col min="5" max="5" width="14" customWidth="1"/>
    <col min="6" max="8" width="22" customWidth="1"/>
    <col min="9" max="9" width="60" customWidth="1"/>
  </cols>
  <sheetData>
    <row r="1" spans="1:9" ht="30" customHeight="1">
      <c r="A1" s="84" t="s">
        <v>1310</v>
      </c>
      <c r="B1" s="84"/>
      <c r="C1" s="84"/>
      <c r="D1" s="84"/>
      <c r="E1" s="84"/>
      <c r="F1" s="84"/>
      <c r="G1" s="84"/>
      <c r="H1" s="84"/>
      <c r="I1" s="84"/>
    </row>
    <row r="2" spans="1:9" ht="51.95" customHeight="1">
      <c r="A2" s="85" t="s">
        <v>1311</v>
      </c>
      <c r="B2" s="85"/>
      <c r="C2" s="85"/>
      <c r="D2" s="85"/>
      <c r="E2" s="85"/>
      <c r="F2" s="85"/>
      <c r="G2" s="85"/>
      <c r="H2" s="85"/>
      <c r="I2" s="85"/>
    </row>
    <row r="3" spans="1:9" ht="42" customHeight="1">
      <c r="A3" s="30" t="s">
        <v>897</v>
      </c>
      <c r="B3" s="30" t="s">
        <v>889</v>
      </c>
      <c r="C3" s="30" t="s">
        <v>898</v>
      </c>
      <c r="D3" s="36">
        <v>55.2896</v>
      </c>
      <c r="E3" s="30" t="s">
        <v>899</v>
      </c>
      <c r="F3" s="37">
        <v>0.2</v>
      </c>
      <c r="G3" s="30" t="s">
        <v>900</v>
      </c>
      <c r="H3" s="86" t="s">
        <v>901</v>
      </c>
      <c r="I3" s="87"/>
    </row>
    <row r="5" spans="1:9" ht="54" customHeight="1">
      <c r="A5" s="31" t="s">
        <v>902</v>
      </c>
      <c r="B5" s="31" t="s">
        <v>903</v>
      </c>
      <c r="C5" s="31" t="s">
        <v>904</v>
      </c>
      <c r="D5" s="31" t="s">
        <v>905</v>
      </c>
      <c r="E5" s="31" t="s">
        <v>899</v>
      </c>
      <c r="F5" s="31" t="s">
        <v>906</v>
      </c>
      <c r="G5" s="31" t="s">
        <v>907</v>
      </c>
      <c r="H5" s="31" t="s">
        <v>908</v>
      </c>
      <c r="I5" s="31" t="s">
        <v>909</v>
      </c>
    </row>
    <row r="6" spans="1:9" ht="92.1" customHeight="1">
      <c r="A6" s="24" t="s">
        <v>910</v>
      </c>
      <c r="B6" s="24" t="s">
        <v>911</v>
      </c>
      <c r="C6" s="32">
        <v>2.46</v>
      </c>
      <c r="D6" s="33">
        <f>$D$3</f>
        <v>55.2896</v>
      </c>
      <c r="E6" s="34">
        <f>$F$3</f>
        <v>0.2</v>
      </c>
      <c r="F6" s="35">
        <f>C6*D6*(1+E6)</f>
        <v>163.21489919999999</v>
      </c>
      <c r="G6" s="35">
        <v>234.9</v>
      </c>
      <c r="H6" s="35">
        <f>F6-G6</f>
        <v>-71.685100800000015</v>
      </c>
      <c r="I6" s="24" t="s">
        <v>912</v>
      </c>
    </row>
    <row r="7" spans="1:9" ht="92.1" customHeight="1">
      <c r="A7" s="24" t="s">
        <v>913</v>
      </c>
      <c r="B7" s="24" t="s">
        <v>358</v>
      </c>
      <c r="C7" s="32">
        <v>1.05</v>
      </c>
      <c r="D7" s="33">
        <f>$D$3</f>
        <v>55.2896</v>
      </c>
      <c r="E7" s="34">
        <f>$F$3</f>
        <v>0.2</v>
      </c>
      <c r="F7" s="35">
        <f>C7*D7*(1+E7)</f>
        <v>69.664895999999999</v>
      </c>
      <c r="G7" s="35">
        <v>58.45</v>
      </c>
      <c r="H7" s="35">
        <f>F7-G7</f>
        <v>11.214895999999996</v>
      </c>
      <c r="I7" s="24" t="s">
        <v>914</v>
      </c>
    </row>
    <row r="9" spans="1:9" ht="42" customHeight="1">
      <c r="A9" s="88" t="s">
        <v>1312</v>
      </c>
      <c r="B9" s="88"/>
      <c r="C9" s="88"/>
      <c r="D9" s="88"/>
      <c r="E9" s="88"/>
      <c r="F9" s="88"/>
      <c r="G9" s="88"/>
      <c r="H9" s="88"/>
      <c r="I9" s="88"/>
    </row>
    <row r="10" spans="1:9" ht="51.95" customHeight="1">
      <c r="A10" s="88" t="s">
        <v>1313</v>
      </c>
      <c r="B10" s="88"/>
      <c r="C10" s="88"/>
      <c r="D10" s="88"/>
      <c r="E10" s="88"/>
      <c r="F10" s="88"/>
      <c r="G10" s="88"/>
      <c r="H10" s="88"/>
      <c r="I10" s="88"/>
    </row>
  </sheetData>
  <mergeCells count="5">
    <mergeCell ref="A1:I1"/>
    <mergeCell ref="A2:I2"/>
    <mergeCell ref="H3:I3"/>
    <mergeCell ref="A9:I9"/>
    <mergeCell ref="A10:I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2"/>
  <sheetViews>
    <sheetView workbookViewId="0">
      <pane ySplit="3" topLeftCell="A4" activePane="bottomLeft" state="frozen"/>
      <selection pane="bottomLeft"/>
    </sheetView>
  </sheetViews>
  <sheetFormatPr defaultRowHeight="14.25"/>
  <cols>
    <col min="1" max="1" width="30" customWidth="1"/>
    <col min="2" max="2" width="48" customWidth="1"/>
    <col min="3" max="3" width="67" customWidth="1"/>
    <col min="4" max="4" width="20" customWidth="1"/>
    <col min="5" max="5" width="15" customWidth="1"/>
    <col min="6" max="6" width="33" customWidth="1"/>
    <col min="7" max="7" width="36" customWidth="1"/>
    <col min="8" max="8" width="46" customWidth="1"/>
    <col min="9" max="9" width="52" customWidth="1"/>
  </cols>
  <sheetData>
    <row r="1" spans="1:9" ht="30" customHeight="1">
      <c r="A1" s="90" t="s">
        <v>1314</v>
      </c>
      <c r="B1" s="90"/>
      <c r="C1" s="90"/>
      <c r="D1" s="90"/>
      <c r="E1" s="38"/>
      <c r="F1" s="38"/>
      <c r="G1" s="38"/>
      <c r="H1" s="38"/>
      <c r="I1" s="38"/>
    </row>
    <row r="2" spans="1:9" ht="42" customHeight="1">
      <c r="A2" s="91" t="s">
        <v>1315</v>
      </c>
      <c r="B2" s="91"/>
      <c r="C2" s="91"/>
      <c r="D2" s="91"/>
      <c r="E2" s="39"/>
      <c r="F2" s="39"/>
      <c r="G2" s="39"/>
      <c r="H2" s="39"/>
      <c r="I2" s="39"/>
    </row>
    <row r="3" spans="1:9" ht="33.950000000000003" customHeight="1">
      <c r="A3" s="44" t="s">
        <v>1316</v>
      </c>
      <c r="B3" s="44" t="s">
        <v>1317</v>
      </c>
      <c r="C3" s="44" t="s">
        <v>1318</v>
      </c>
      <c r="D3" s="44" t="s">
        <v>1319</v>
      </c>
    </row>
    <row r="4" spans="1:9" ht="72" customHeight="1">
      <c r="A4" s="47" t="s">
        <v>109</v>
      </c>
      <c r="B4" s="48" t="s">
        <v>1320</v>
      </c>
      <c r="C4" s="48" t="s">
        <v>1321</v>
      </c>
      <c r="D4" s="49">
        <v>728.77</v>
      </c>
    </row>
    <row r="5" spans="1:9" ht="81.95" customHeight="1">
      <c r="A5" s="50" t="s">
        <v>933</v>
      </c>
      <c r="B5" s="51" t="s">
        <v>1322</v>
      </c>
      <c r="C5" s="51" t="s">
        <v>1323</v>
      </c>
      <c r="D5" s="52">
        <v>2343.88</v>
      </c>
    </row>
    <row r="6" spans="1:9" ht="72" customHeight="1">
      <c r="A6" s="53" t="s">
        <v>1324</v>
      </c>
      <c r="B6" s="54" t="s">
        <v>1325</v>
      </c>
      <c r="C6" s="54" t="s">
        <v>1326</v>
      </c>
      <c r="D6" s="55">
        <v>381.56</v>
      </c>
    </row>
    <row r="7" spans="1:9" ht="48" customHeight="1">
      <c r="A7" s="56" t="s">
        <v>979</v>
      </c>
      <c r="B7" s="57" t="s">
        <v>1327</v>
      </c>
      <c r="C7" s="57" t="s">
        <v>1328</v>
      </c>
      <c r="D7" s="58">
        <v>159</v>
      </c>
    </row>
    <row r="8" spans="1:9" ht="78" customHeight="1">
      <c r="A8" s="45" t="s">
        <v>1329</v>
      </c>
      <c r="B8" s="46" t="s">
        <v>1330</v>
      </c>
      <c r="C8" s="46" t="s">
        <v>1331</v>
      </c>
      <c r="D8" s="60">
        <f>SUM(D4:D7)</f>
        <v>3613.21</v>
      </c>
    </row>
    <row r="9" spans="1:9" ht="54" customHeight="1">
      <c r="A9" s="9"/>
      <c r="B9" s="9"/>
      <c r="C9" s="9"/>
      <c r="D9" s="42"/>
    </row>
    <row r="10" spans="1:9" ht="24.95" customHeight="1">
      <c r="A10" s="41"/>
      <c r="B10" s="41"/>
      <c r="C10" s="41"/>
      <c r="D10" s="43"/>
    </row>
    <row r="12" spans="1:9" ht="26.1" customHeight="1">
      <c r="A12" s="89" t="s">
        <v>1332</v>
      </c>
      <c r="B12" s="89"/>
      <c r="C12" s="89"/>
      <c r="D12" s="89"/>
      <c r="E12" s="89"/>
      <c r="F12" s="89"/>
      <c r="G12" s="89"/>
      <c r="H12" s="89"/>
      <c r="I12" s="89"/>
    </row>
    <row r="13" spans="1:9" ht="33.950000000000003" customHeight="1">
      <c r="A13" s="40" t="s">
        <v>63</v>
      </c>
      <c r="B13" s="40" t="s">
        <v>687</v>
      </c>
      <c r="C13" s="40" t="s">
        <v>1333</v>
      </c>
      <c r="D13" s="40" t="s">
        <v>65</v>
      </c>
      <c r="E13" s="40" t="s">
        <v>1334</v>
      </c>
      <c r="F13" s="40" t="s">
        <v>1335</v>
      </c>
      <c r="G13" s="40" t="s">
        <v>1336</v>
      </c>
      <c r="H13" s="40" t="s">
        <v>690</v>
      </c>
      <c r="I13" s="40" t="s">
        <v>1337</v>
      </c>
    </row>
    <row r="14" spans="1:9" ht="50.1" customHeight="1">
      <c r="A14" s="24" t="s">
        <v>109</v>
      </c>
      <c r="B14" s="24" t="s">
        <v>106</v>
      </c>
      <c r="C14" s="24" t="s">
        <v>1338</v>
      </c>
      <c r="D14" s="24">
        <v>2</v>
      </c>
      <c r="E14" s="24">
        <v>106.05</v>
      </c>
      <c r="F14" s="24" t="s">
        <v>1339</v>
      </c>
      <c r="G14" s="24" t="s">
        <v>1340</v>
      </c>
      <c r="H14" s="24" t="s">
        <v>110</v>
      </c>
      <c r="I14" s="24" t="s">
        <v>1341</v>
      </c>
    </row>
    <row r="15" spans="1:9" ht="50.1" customHeight="1">
      <c r="A15" s="24" t="s">
        <v>109</v>
      </c>
      <c r="B15" s="24" t="s">
        <v>113</v>
      </c>
      <c r="C15" s="24" t="s">
        <v>1342</v>
      </c>
      <c r="D15" s="24">
        <v>4</v>
      </c>
      <c r="E15" s="24">
        <v>21.21</v>
      </c>
      <c r="F15" s="24" t="s">
        <v>1343</v>
      </c>
      <c r="G15" s="24" t="s">
        <v>1344</v>
      </c>
      <c r="H15" s="24" t="s">
        <v>958</v>
      </c>
      <c r="I15" s="24" t="s">
        <v>1345</v>
      </c>
    </row>
    <row r="16" spans="1:9" ht="50.1" customHeight="1">
      <c r="A16" s="24" t="s">
        <v>109</v>
      </c>
      <c r="B16" s="24" t="s">
        <v>139</v>
      </c>
      <c r="C16" s="24" t="s">
        <v>1346</v>
      </c>
      <c r="D16" s="24">
        <v>1</v>
      </c>
      <c r="E16" s="24">
        <v>106.05</v>
      </c>
      <c r="F16" s="24" t="s">
        <v>1347</v>
      </c>
      <c r="G16" s="24" t="s">
        <v>1348</v>
      </c>
      <c r="H16" s="24" t="s">
        <v>1349</v>
      </c>
      <c r="I16" s="24" t="s">
        <v>1350</v>
      </c>
    </row>
    <row r="17" spans="1:9" ht="50.1" customHeight="1">
      <c r="A17" s="24" t="s">
        <v>109</v>
      </c>
      <c r="B17" s="24" t="s">
        <v>1351</v>
      </c>
      <c r="C17" s="24" t="s">
        <v>1352</v>
      </c>
      <c r="D17" s="24">
        <v>3</v>
      </c>
      <c r="E17" s="24">
        <v>7.27</v>
      </c>
      <c r="F17" s="24" t="s">
        <v>1353</v>
      </c>
      <c r="G17" s="24" t="s">
        <v>1354</v>
      </c>
      <c r="H17" s="24"/>
      <c r="I17" s="24" t="s">
        <v>1355</v>
      </c>
    </row>
    <row r="18" spans="1:9" ht="50.1" customHeight="1">
      <c r="A18" s="24" t="s">
        <v>109</v>
      </c>
      <c r="B18" s="24" t="s">
        <v>147</v>
      </c>
      <c r="C18" s="24" t="s">
        <v>1112</v>
      </c>
      <c r="D18" s="24">
        <v>1</v>
      </c>
      <c r="E18" s="24">
        <v>35.35</v>
      </c>
      <c r="F18" s="24" t="s">
        <v>1356</v>
      </c>
      <c r="G18" s="24" t="s">
        <v>1357</v>
      </c>
      <c r="H18" s="24"/>
      <c r="I18" s="24" t="s">
        <v>1358</v>
      </c>
    </row>
    <row r="19" spans="1:9" ht="50.1" customHeight="1">
      <c r="A19" s="24" t="s">
        <v>109</v>
      </c>
      <c r="B19" s="24" t="s">
        <v>1359</v>
      </c>
      <c r="C19" s="24" t="s">
        <v>1360</v>
      </c>
      <c r="D19" s="24">
        <v>2</v>
      </c>
      <c r="E19" s="24">
        <v>6.67</v>
      </c>
      <c r="F19" s="24" t="s">
        <v>1361</v>
      </c>
      <c r="G19" s="24" t="s">
        <v>1362</v>
      </c>
      <c r="H19" s="24"/>
      <c r="I19" s="24" t="s">
        <v>1363</v>
      </c>
    </row>
    <row r="20" spans="1:9" ht="50.1" customHeight="1">
      <c r="A20" s="24" t="s">
        <v>109</v>
      </c>
      <c r="B20" s="24" t="s">
        <v>147</v>
      </c>
      <c r="C20" s="24" t="s">
        <v>1364</v>
      </c>
      <c r="D20" s="24">
        <v>2</v>
      </c>
      <c r="E20" s="24"/>
      <c r="F20" s="24" t="s">
        <v>1365</v>
      </c>
      <c r="G20" s="24" t="s">
        <v>1366</v>
      </c>
      <c r="H20" s="24" t="s">
        <v>1114</v>
      </c>
      <c r="I20" s="24" t="s">
        <v>1367</v>
      </c>
    </row>
    <row r="21" spans="1:9" ht="50.1" customHeight="1">
      <c r="A21" s="24" t="s">
        <v>933</v>
      </c>
      <c r="B21" s="24" t="s">
        <v>89</v>
      </c>
      <c r="C21" s="24" t="s">
        <v>1368</v>
      </c>
      <c r="D21" s="24">
        <v>3</v>
      </c>
      <c r="E21" s="24">
        <v>121.08</v>
      </c>
      <c r="F21" s="24" t="s">
        <v>1369</v>
      </c>
      <c r="G21" s="24" t="s">
        <v>1370</v>
      </c>
      <c r="H21" s="24" t="s">
        <v>934</v>
      </c>
      <c r="I21" s="24" t="s">
        <v>1371</v>
      </c>
    </row>
    <row r="22" spans="1:9" ht="50.1" customHeight="1">
      <c r="A22" s="24" t="s">
        <v>933</v>
      </c>
      <c r="B22" s="24" t="s">
        <v>94</v>
      </c>
      <c r="C22" s="24" t="s">
        <v>1372</v>
      </c>
      <c r="D22" s="24">
        <v>5</v>
      </c>
      <c r="E22" s="24">
        <v>58.12</v>
      </c>
      <c r="F22" s="24" t="s">
        <v>1373</v>
      </c>
      <c r="G22" s="24" t="s">
        <v>1374</v>
      </c>
      <c r="H22" s="24" t="s">
        <v>98</v>
      </c>
      <c r="I22" s="24" t="s">
        <v>1375</v>
      </c>
    </row>
    <row r="23" spans="1:9" ht="50.1" customHeight="1">
      <c r="A23" s="24" t="s">
        <v>933</v>
      </c>
      <c r="B23" s="24" t="s">
        <v>104</v>
      </c>
      <c r="C23" s="24" t="s">
        <v>1376</v>
      </c>
      <c r="D23" s="24">
        <v>2</v>
      </c>
      <c r="E23" s="24">
        <v>508.53</v>
      </c>
      <c r="F23" s="24" t="s">
        <v>1377</v>
      </c>
      <c r="G23" s="24" t="s">
        <v>1378</v>
      </c>
      <c r="H23" s="24" t="s">
        <v>947</v>
      </c>
      <c r="I23" s="24" t="s">
        <v>1379</v>
      </c>
    </row>
    <row r="24" spans="1:9" ht="50.1" customHeight="1">
      <c r="A24" s="24" t="s">
        <v>933</v>
      </c>
      <c r="B24" s="24" t="s">
        <v>139</v>
      </c>
      <c r="C24" s="24" t="s">
        <v>1380</v>
      </c>
      <c r="D24" s="24">
        <v>2</v>
      </c>
      <c r="E24" s="24">
        <v>46.01</v>
      </c>
      <c r="F24" s="24" t="s">
        <v>1381</v>
      </c>
      <c r="G24" s="24" t="s">
        <v>1382</v>
      </c>
      <c r="H24" s="24"/>
      <c r="I24" s="24" t="s">
        <v>1383</v>
      </c>
    </row>
    <row r="25" spans="1:9" ht="50.1" customHeight="1">
      <c r="A25" s="24" t="s">
        <v>933</v>
      </c>
      <c r="B25" s="24" t="s">
        <v>139</v>
      </c>
      <c r="C25" s="24" t="s">
        <v>1384</v>
      </c>
      <c r="D25" s="24">
        <v>1</v>
      </c>
      <c r="E25" s="24">
        <v>49.4</v>
      </c>
      <c r="F25" s="24" t="s">
        <v>1385</v>
      </c>
      <c r="G25" s="24" t="s">
        <v>1386</v>
      </c>
      <c r="H25" s="24"/>
      <c r="I25" s="24" t="s">
        <v>1387</v>
      </c>
    </row>
    <row r="26" spans="1:9" ht="50.1" customHeight="1">
      <c r="A26" s="24" t="s">
        <v>933</v>
      </c>
      <c r="B26" s="24" t="s">
        <v>1388</v>
      </c>
      <c r="C26" s="24" t="s">
        <v>1389</v>
      </c>
      <c r="D26" s="24">
        <v>1</v>
      </c>
      <c r="E26" s="24"/>
      <c r="F26" s="24" t="s">
        <v>1390</v>
      </c>
      <c r="G26" s="24" t="s">
        <v>1391</v>
      </c>
      <c r="H26" s="24"/>
      <c r="I26" s="24" t="s">
        <v>1392</v>
      </c>
    </row>
    <row r="27" spans="1:9" ht="50.1" customHeight="1">
      <c r="A27" s="24" t="s">
        <v>933</v>
      </c>
      <c r="B27" s="24" t="s">
        <v>102</v>
      </c>
      <c r="C27" s="24" t="s">
        <v>1393</v>
      </c>
      <c r="D27" s="24">
        <v>3</v>
      </c>
      <c r="E27" s="24">
        <v>5.81</v>
      </c>
      <c r="F27" s="24" t="s">
        <v>1394</v>
      </c>
      <c r="G27" s="24" t="s">
        <v>1395</v>
      </c>
      <c r="H27" s="24"/>
      <c r="I27" s="24" t="s">
        <v>1396</v>
      </c>
    </row>
    <row r="28" spans="1:9" ht="50.1" customHeight="1">
      <c r="A28" s="24" t="s">
        <v>933</v>
      </c>
      <c r="B28" s="24" t="s">
        <v>1359</v>
      </c>
      <c r="C28" s="24" t="s">
        <v>1397</v>
      </c>
      <c r="D28" s="24">
        <v>3</v>
      </c>
      <c r="E28" s="24">
        <v>2.17</v>
      </c>
      <c r="F28" s="24" t="s">
        <v>1398</v>
      </c>
      <c r="G28" s="24" t="s">
        <v>1386</v>
      </c>
      <c r="H28" s="24"/>
      <c r="I28" s="24" t="s">
        <v>1399</v>
      </c>
    </row>
    <row r="29" spans="1:9" ht="50.1" customHeight="1">
      <c r="A29" s="24" t="s">
        <v>933</v>
      </c>
      <c r="B29" s="24" t="s">
        <v>1359</v>
      </c>
      <c r="C29" s="24" t="s">
        <v>1400</v>
      </c>
      <c r="D29" s="24">
        <v>3</v>
      </c>
      <c r="E29" s="24">
        <v>1.1599999999999999</v>
      </c>
      <c r="F29" s="24" t="s">
        <v>1401</v>
      </c>
      <c r="G29" s="24" t="s">
        <v>1386</v>
      </c>
      <c r="H29" s="24"/>
      <c r="I29" s="24" t="s">
        <v>1402</v>
      </c>
    </row>
    <row r="30" spans="1:9" ht="50.1" customHeight="1">
      <c r="A30" s="24" t="s">
        <v>933</v>
      </c>
      <c r="B30" s="24" t="s">
        <v>144</v>
      </c>
      <c r="C30" s="24" t="s">
        <v>1403</v>
      </c>
      <c r="D30" s="24">
        <v>1</v>
      </c>
      <c r="E30" s="24">
        <v>75.55</v>
      </c>
      <c r="F30" s="24" t="s">
        <v>1404</v>
      </c>
      <c r="G30" s="24" t="s">
        <v>1386</v>
      </c>
      <c r="H30" s="24" t="s">
        <v>969</v>
      </c>
      <c r="I30" s="24" t="s">
        <v>1405</v>
      </c>
    </row>
    <row r="31" spans="1:9" ht="50.1" customHeight="1">
      <c r="A31" s="24" t="s">
        <v>1406</v>
      </c>
      <c r="B31" s="24" t="s">
        <v>85</v>
      </c>
      <c r="C31" s="24" t="s">
        <v>1407</v>
      </c>
      <c r="D31" s="24">
        <v>2</v>
      </c>
      <c r="E31" s="24">
        <v>84.483699999999999</v>
      </c>
      <c r="F31" s="24" t="s">
        <v>1408</v>
      </c>
      <c r="G31" s="24" t="s">
        <v>1409</v>
      </c>
      <c r="H31" s="24" t="s">
        <v>361</v>
      </c>
      <c r="I31" s="24" t="s">
        <v>1410</v>
      </c>
    </row>
    <row r="32" spans="1:9" ht="50.1" customHeight="1">
      <c r="A32" s="24" t="s">
        <v>979</v>
      </c>
      <c r="B32" s="24" t="s">
        <v>1411</v>
      </c>
      <c r="C32" s="24" t="s">
        <v>1412</v>
      </c>
      <c r="D32" s="24">
        <v>1</v>
      </c>
      <c r="E32" s="24">
        <v>159</v>
      </c>
      <c r="F32" s="24" t="s">
        <v>1413</v>
      </c>
      <c r="G32" s="24" t="s">
        <v>1414</v>
      </c>
      <c r="H32" s="24" t="s">
        <v>980</v>
      </c>
      <c r="I32" s="24" t="s">
        <v>1415</v>
      </c>
    </row>
  </sheetData>
  <mergeCells count="3">
    <mergeCell ref="A12:I1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13</vt:i4>
      </vt:variant>
    </vt:vector>
  </HeadingPairs>
  <TitlesOfParts>
    <vt:vector size="13" baseType="lpstr">
      <vt:lpstr>NOTLAR</vt:lpstr>
      <vt:lpstr>Satın_Alma</vt:lpstr>
      <vt:lpstr>ANA_BOM</vt:lpstr>
      <vt:lpstr>Dönüştürücü_Karşılaştırma</vt:lpstr>
      <vt:lpstr>Test_Matrisi</vt:lpstr>
      <vt:lpstr>Alternatifler</vt:lpstr>
      <vt:lpstr>Sipariş_Kayıt</vt:lpstr>
      <vt:lpstr>Rev02_Ek_Kalemler</vt:lpstr>
      <vt:lpstr>Rev02_Karar_Aksiyon</vt:lpstr>
      <vt:lpstr>Revizyon_Gecmisi</vt:lpstr>
      <vt:lpstr>Sipariş_Hazırlık</vt:lpstr>
      <vt:lpstr>Fiyat_Kontrol</vt:lpstr>
      <vt:lpstr>Gerçek_Sipariş_Rev03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ÖZGÜR OZAN YILDIZ</cp:lastModifiedBy>
  <dcterms:modified xsi:type="dcterms:W3CDTF">2026-10-17T23:40:42Z</dcterms:modified>
</cp:coreProperties>
</file>