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pc\Desktop\"/>
    </mc:Choice>
  </mc:AlternateContent>
  <xr:revisionPtr revIDLastSave="0" documentId="8_{7D0BF2DD-D0DB-402A-A2A2-7B6CF881CF5C}" xr6:coauthVersionLast="47" xr6:coauthVersionMax="47" xr10:uidLastSave="{00000000-0000-0000-0000-000000000000}"/>
  <bookViews>
    <workbookView xWindow="-120" yWindow="-120" windowWidth="29040" windowHeight="15840" xr2:uid="{00000000-000D-0000-FFFF-FFFF00000000}"/>
  </bookViews>
  <sheets>
    <sheet name="NOTLAR" sheetId="1" r:id="rId1"/>
    <sheet name="Satın_Alma" sheetId="2" r:id="rId2"/>
    <sheet name="ANA_BOM" sheetId="3" r:id="rId3"/>
    <sheet name="Dönüştürücü_Karşılaştırma" sheetId="4" r:id="rId4"/>
    <sheet name="Test_Matrisi" sheetId="5" r:id="rId5"/>
    <sheet name="Alternatifler" sheetId="6" r:id="rId6"/>
    <sheet name="Sipariş_Kayıt" sheetId="7" r:id="rId7"/>
    <sheet name="Rev02_Ek_Kalemler" sheetId="8" r:id="rId8"/>
    <sheet name="Rev02_Karar_Aksiyon" sheetId="9" r:id="rId9"/>
    <sheet name="Revizyon_Gecmisi" sheetId="10" r:id="rId10"/>
    <sheet name="Sipariş_Hazırlık" sheetId="11" r:id="rId11"/>
    <sheet name="Fiyat_Kontrol" sheetId="12" r:id="rId1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2" l="1"/>
  <c r="D7" i="12"/>
  <c r="F7" i="12" s="1"/>
  <c r="H7" i="12" s="1"/>
  <c r="F6" i="12"/>
  <c r="H6" i="12" s="1"/>
  <c r="E6" i="12"/>
  <c r="D6" i="12"/>
  <c r="I14" i="8"/>
  <c r="I13" i="8"/>
  <c r="I12" i="8"/>
  <c r="I11" i="8"/>
  <c r="I10" i="8"/>
  <c r="I9" i="8"/>
  <c r="I8" i="8"/>
  <c r="I7" i="8"/>
  <c r="I6" i="8"/>
  <c r="G26" i="7"/>
  <c r="G21" i="7"/>
  <c r="G20" i="7"/>
  <c r="G19" i="7"/>
  <c r="G18" i="7"/>
  <c r="G17" i="7"/>
  <c r="G16" i="7"/>
  <c r="G15" i="7"/>
  <c r="G14" i="7"/>
  <c r="G13" i="7"/>
  <c r="G12" i="7"/>
  <c r="G11" i="7"/>
  <c r="G10" i="7"/>
  <c r="G9" i="7"/>
  <c r="G8" i="7"/>
  <c r="G7" i="7"/>
  <c r="G6" i="7"/>
  <c r="G5" i="7"/>
  <c r="J28" i="2"/>
  <c r="B18" i="8" s="1"/>
  <c r="B20" i="8" s="1"/>
  <c r="J16" i="2"/>
  <c r="J15" i="2"/>
  <c r="J14" i="2"/>
  <c r="J13" i="2"/>
  <c r="J12" i="2"/>
  <c r="J11" i="2"/>
  <c r="J10" i="2"/>
  <c r="J9" i="2"/>
  <c r="J8" i="2"/>
  <c r="J7" i="2"/>
  <c r="J6" i="2"/>
  <c r="J5" i="2"/>
</calcChain>
</file>

<file path=xl/sharedStrings.xml><?xml version="1.0" encoding="utf-8"?>
<sst xmlns="http://schemas.openxmlformats.org/spreadsheetml/2006/main" count="1590" uniqueCount="1224">
  <si>
    <t>Bölüm</t>
  </si>
  <si>
    <t>Kural / Anlam</t>
  </si>
  <si>
    <t>Açıklama</t>
  </si>
  <si>
    <t>Amaç</t>
  </si>
  <si>
    <t>Tek dosyada satın alma + BOM + test + seçim kayıtları</t>
  </si>
  <si>
    <t>Bu dosya satın alma + BOM + test + seçim kayıtlarını tek yerde tutar. Nihai üretim BOM'u, seçilen mimari ve yapım seviyesi kesinleşince türetilir.</t>
  </si>
  <si>
    <t>Rev01 kapsamı</t>
  </si>
  <si>
    <t>1 ECM + 1 MEMS ailesi karşılaştırması</t>
  </si>
  <si>
    <t>Parça numaraları 3. hafta aday seçiminde netleştirilir. ECM için tek aile: Kingstate ana aday, Same Sky yedek; MEMS sensör PUI'dır.</t>
  </si>
  <si>
    <t>Prototipleme</t>
  </si>
  <si>
    <t>2 yaklaşım</t>
  </si>
  <si>
    <t>Breadboard + lehimli prototip zorunlu karşılaştırmadır. Özel PCB yalnız ölçümle gerekçelendirilirse koşullu.</t>
  </si>
  <si>
    <t>Veri seti</t>
  </si>
  <si>
    <t>CirCor DigiScope</t>
  </si>
  <si>
    <t>Birincil veri seti sabit tutulur; fiziksel doğrulama akustik fantomla yapılır.</t>
  </si>
  <si>
    <t>İnsan verisi</t>
  </si>
  <si>
    <t>Kullanılmaz</t>
  </si>
  <si>
    <t>Fiziksel doğrulama yalnız akustik fantom üzerinde yapılır; ekip üyelerinden dahi kayıt alınmaz.</t>
  </si>
  <si>
    <t>Sonuç üretimi</t>
  </si>
  <si>
    <t>Otomatik / betik tabanlı</t>
  </si>
  <si>
    <t>Ölçüm sonucu uydurulmaz; sayısal sonuçlar betikle üretilebilir olmalıdır.</t>
  </si>
  <si>
    <t>SATIN ALMA RENK KODU</t>
  </si>
  <si>
    <t>Renk</t>
  </si>
  <si>
    <t>Zaman</t>
  </si>
  <si>
    <t>YEŞİL</t>
  </si>
  <si>
    <t>GRUP A — HEMEN AL</t>
  </si>
  <si>
    <t>1. dönem / 4. hafta öncesi</t>
  </si>
  <si>
    <t>İlk deneyler ve 1. dönem ders kapıları için gerekli.</t>
  </si>
  <si>
    <t>MAVİ</t>
  </si>
  <si>
    <t>GRUP B — 2. DÖNEMDE AL</t>
  </si>
  <si>
    <t>2. dönem</t>
  </si>
  <si>
    <t>Lehimli prototip ve ikinci dönem çalışmaları.</t>
  </si>
  <si>
    <t>SARI</t>
  </si>
  <si>
    <t>OPSİYONEL / KOŞULLU</t>
  </si>
  <si>
    <t>Gerektiğinde</t>
  </si>
  <si>
    <t>PPG ve özel PCB gibi çekirdek dışı veya ölçüme bağlı kalemler.</t>
  </si>
  <si>
    <t>GRİ</t>
  </si>
  <si>
    <t>GRUP C — BÖLÜMDEN TEMİN</t>
  </si>
  <si>
    <t>İlk 3 hafta kontrol</t>
  </si>
  <si>
    <t>Satın alınmaz; bölüm/laboratuvardan ödünç alınır.</t>
  </si>
  <si>
    <t>DANIŞMAN BELGELERİNDEN GELEN TEMEL KURALLAR</t>
  </si>
  <si>
    <t>No</t>
  </si>
  <si>
    <t>Kural</t>
  </si>
  <si>
    <t>Uygulama</t>
  </si>
  <si>
    <t>Gereksinimler ölçülebilir ve doğrulanabilir olmalıdır.</t>
  </si>
  <si>
    <t>Her gereksinim test edilebilir bir kabul kriterine bağlanır.</t>
  </si>
  <si>
    <t>Çekirdek edinim zinciri bağımsız olarak bilinen bir girdiye karşı doğrulanmalıdır.</t>
  </si>
  <si>
    <t>Akustik fantom + bilinen veri seti kaydı + sayısal karşılaştırma.</t>
  </si>
  <si>
    <t>Ders kapıları: 1. dönem 5. hafta, 1. dönem 9. hafta, 2. dönem 7. hafta.</t>
  </si>
  <si>
    <t>Test Matrisi sayfasında bu üç kapı doğrudan kullanılır.</t>
  </si>
  <si>
    <t>Araç zinciri ve veri seti başlangıçta seçilir; sonrasında değiştirilmez.</t>
  </si>
  <si>
    <t>C firmware + Python PC ve CirCor DigiScope sabit tutulur.</t>
  </si>
  <si>
    <t>Grup A 4. haftaya kadar; Grup B 2. dönem; Grup C bölümden ödünç.</t>
  </si>
  <si>
    <t>Satın Alma sayfası renklerle ayırır.</t>
  </si>
  <si>
    <t>Kalem</t>
  </si>
  <si>
    <t>Grup</t>
  </si>
  <si>
    <t>Öncelik</t>
  </si>
  <si>
    <t>Ürün / Parça</t>
  </si>
  <si>
    <t>Ana Aday / MPN</t>
  </si>
  <si>
    <t>Tedarikçi</t>
  </si>
  <si>
    <t>Ürün Bağlantısı</t>
  </si>
  <si>
    <t>Adet</t>
  </si>
  <si>
    <t>Birim Fiyat (TRY)</t>
  </si>
  <si>
    <t>Toplam (TRY)</t>
  </si>
  <si>
    <t>Stok / Uygunluk</t>
  </si>
  <si>
    <t>Teslim Süresi</t>
  </si>
  <si>
    <t>Yedek / Alternatif</t>
  </si>
  <si>
    <t>Yedek Bağlantısı</t>
  </si>
  <si>
    <t>Kapı / Aşama</t>
  </si>
  <si>
    <t>Teknik Not / Karar Durumu</t>
  </si>
  <si>
    <t>A-01</t>
  </si>
  <si>
    <t>GRUP A</t>
  </si>
  <si>
    <t>P1</t>
  </si>
  <si>
    <t>Akustik stetoskop / örnek göğüs başlığı</t>
  </si>
  <si>
    <t>Medikaltec Klasik Steteskop</t>
  </si>
  <si>
    <t>Medikaltec</t>
  </si>
  <si>
    <t>https://www.medikaltec.com.tr/kategori/steteskop?marka=medikaltec&amp;ozellikler=tip-1%3Astandart-medikal-urun</t>
  </si>
  <si>
    <t>Sepete eklenebilir / kategori sayfasında listeli</t>
  </si>
  <si>
    <t>Türkiye içi; siparişte teyit</t>
  </si>
  <si>
    <t>Freely Tek Taraflı ST-101 (~459.99 TL)</t>
  </si>
  <si>
    <t>https://www.medikaltec.com.tr/kategori/steteskop?ozellikler=tip-1%3Astandart-medikal-urun</t>
  </si>
  <si>
    <t>Ucuz örnek göğüs başlığı/tubing. Ticari ürünün akustik performansı nihai kabul değildir; phantom ile ölçülür.</t>
  </si>
  <si>
    <t>A-02</t>
  </si>
  <si>
    <t>Elektret kondenser mikrofon (ECM)</t>
  </si>
  <si>
    <t>KINGSTATE KECG2740PBJ</t>
  </si>
  <si>
    <t>Farnell Türkiye</t>
  </si>
  <si>
    <t>https://tr.farnell.com/kingstate/kecg2740pbj/microphone-miniature-electret/dp/1299885</t>
  </si>
  <si>
    <t>1,124 stok; MOQ 1 (30.09.2026 araştırma görüntüsü)</t>
  </si>
  <si>
    <t>Same Sky CMC-6036-40T — teknik referans; Farnell MOQ 500</t>
  </si>
  <si>
    <t>https://tr.farnell.com/same-sky/cmc-6036-40t/microphone-electret-condenser/dp/4892745</t>
  </si>
  <si>
    <t>A-03</t>
  </si>
  <si>
    <t>https://tr.farnell.com/pui-audio/dmm-4026-b-i2s-eb-r/eval-board-26db-1-8vdc-mems-microphone/dp/4903832</t>
  </si>
  <si>
    <t>DMM-4026-B-I2S-EB-R değerlendirme kartı (ilk bench taşıyıcısı); ham sensör ayrı MPN</t>
  </si>
  <si>
    <t>A-04</t>
  </si>
  <si>
    <t>Düşük gürültülü op-amp</t>
  </si>
  <si>
    <t>Microchip MCP6022-I/P, DIP-8</t>
  </si>
  <si>
    <t>Direnc.net</t>
  </si>
  <si>
    <t>https://www.direnc.net/mcp6022-ip-dual-op-amp-500uv-offset-max-10mhz-band-width-pdip8</t>
  </si>
  <si>
    <t>Sepete eklenebilir</t>
  </si>
  <si>
    <t>NE5532P (ucuz yedek; daha yüksek/split besleme gereksinimi)</t>
  </si>
  <si>
    <t>https://www.direnc.net/amplifikatorler-dip</t>
  </si>
  <si>
    <t>A-05</t>
  </si>
  <si>
    <t>Pasif komponent seti</t>
  </si>
  <si>
    <t>Robotistan 1/4W direnç kiti + kondansatör seti</t>
  </si>
  <si>
    <t>Robotistan</t>
  </si>
  <si>
    <t>https://www.robotistan.com/devre-elemanlari</t>
  </si>
  <si>
    <t>Her iki kit sepete eklenebilir</t>
  </si>
  <si>
    <t>Değerler netleşince tekil düşük toleranslı R/C satın alma</t>
  </si>
  <si>
    <t>https://www.robotistan.com/14w-direnc-kiti-500-adet</t>
  </si>
  <si>
    <t>A-06</t>
  </si>
  <si>
    <t>Mikrodenetleyici geliştirme kartı</t>
  </si>
  <si>
    <t>Espressif ESP32-S3-DevKitC-1-N8R8</t>
  </si>
  <si>
    <t>Mouser Türkiye</t>
  </si>
  <si>
    <t>https://www.mouser.com.tr/tr/ProductDetail/Espressif-Systems/ESP32-S3-DevKitC-1-N8R8</t>
  </si>
  <si>
    <t>1,566 stok; hemen gönderilebilir (30.09.2026 araştırma görüntüsü)</t>
  </si>
  <si>
    <t>Mouser TR; gümrük/kargo süresi sipariş ekranı'ta teyit</t>
  </si>
  <si>
    <t>ESP32-S3-DevKitC-1U-N8R8</t>
  </si>
  <si>
    <t>https://www.mouser.com.tr/en/ProductDetail/Espressif-Systems/ESP32-S3-DevKitC-1U-N8R8</t>
  </si>
  <si>
    <t>A-07</t>
  </si>
  <si>
    <t>Fantom eksitörü / transdüser</t>
  </si>
  <si>
    <t>Motorobit 30 mm 12 Ω titreşim/rezonans hoparlör</t>
  </si>
  <si>
    <t>Motorobit</t>
  </si>
  <si>
    <t>https://www.motorobit.com/titresim-hoparloru-30mm-12-ohm-12%CE%A9-rezonans-hoparlor</t>
  </si>
  <si>
    <t>10,000+ stok gösteriliyor</t>
  </si>
  <si>
    <t>Türkiye içi</t>
  </si>
  <si>
    <t>Standart 8 Ω küçük hoparlör; LF cevabı bench'te doğrulanmalı</t>
  </si>
  <si>
    <t>https://www.motorobit.com/hoparlor-ve-buzzer?pg=4</t>
  </si>
  <si>
    <t>A-08</t>
  </si>
  <si>
    <t>Küçük ses yükselteç modülü</t>
  </si>
  <si>
    <t>LM386 tabanlı modül</t>
  </si>
  <si>
    <t>https://www.robotistan.com/ses-modulleri</t>
  </si>
  <si>
    <t>A-09</t>
  </si>
  <si>
    <t>Silikon levha / kuplaj katmanı</t>
  </si>
  <si>
    <t>Şeffaf silikon levha 3 mm, 1 m × 0.25 m</t>
  </si>
  <si>
    <t>Demiriz / Endüstri Malzemesi</t>
  </si>
  <si>
    <t>https://www.endustrimalzemesi.com/urun/silikon-levha-seffaf-3-mm-en-1-mt-boy-0-25-mt-1643</t>
  </si>
  <si>
    <t>Kategori listesinde stokta / sepete eklenebilir; fiyat dinamik</t>
  </si>
  <si>
    <t>Türkiye içi; sipariş anında fiyat/stok teyit</t>
  </si>
  <si>
    <t>2 mm silikon levha veya daha küçük numune</t>
  </si>
  <si>
    <t>https://www.demiriz.com.tr/kategori/seffaf-silikon-levhalar</t>
  </si>
  <si>
    <t>A-10</t>
  </si>
  <si>
    <t>Fantom rijit çerçeve malzemesi</t>
  </si>
  <si>
    <t>3 mm şeffaf akrilik levha, 20×30 cm</t>
  </si>
  <si>
    <t>Trendyol / Bilhan Pleksi</t>
  </si>
  <si>
    <t>https://www.trendyol.com/seffaf-pleksi-y-s82306?pi=21</t>
  </si>
  <si>
    <t>Sepete ekle görüldü</t>
  </si>
  <si>
    <t>Marketplace; siparişte teyit</t>
  </si>
  <si>
    <t>Bölüm 3D baskı / yerel lazer kesim akrilik</t>
  </si>
  <si>
    <t>https://www.trendyol.com/akrilik-levha-y-s9511</t>
  </si>
  <si>
    <t>A-11</t>
  </si>
  <si>
    <t>A-12</t>
  </si>
  <si>
    <t>Ekranlı sinyal kablosu + konnektör</t>
  </si>
  <si>
    <t>2 m XLR/mikrofon kablosu (shielded)</t>
  </si>
  <si>
    <t>n11 / Yenikablo (Akakçe fiyat karşılaştırma)</t>
  </si>
  <si>
    <t>https://www.akakce.com/mikrofon-aksesuari/en-ucuz-xlr-mikrofon-kablosu-2-metre-fiyati%2C849293642.html</t>
  </si>
  <si>
    <t>100+ stok; 1 iş günü (fiyat karşılaştırma kaynağı)</t>
  </si>
  <si>
    <t>1 iş günü bilgisi; satıcıda teyit</t>
  </si>
  <si>
    <t>2x0.22 mm² mikrofon kablosu / metre</t>
  </si>
  <si>
    <t>https://www.meteormuzik.com.tr/mikrofon-kablosu</t>
  </si>
  <si>
    <t>B-01</t>
  </si>
  <si>
    <t>GRUP B</t>
  </si>
  <si>
    <t>P2</t>
  </si>
  <si>
    <t>Lehimli prototip kartı</t>
  </si>
  <si>
    <t>Perfboard / stripboard — exact SKU later</t>
  </si>
  <si>
    <t>2. dönem tedarik</t>
  </si>
  <si>
    <t>HENÜZ SATIN ALMA YOK</t>
  </si>
  <si>
    <t>—</t>
  </si>
  <si>
    <t>Advisor Grup B; şimdi kilitlenmez.</t>
  </si>
  <si>
    <t>B-02</t>
  </si>
  <si>
    <t>Li-ion/Li-Po hücre + şarj/koruma</t>
  </si>
  <si>
    <t>1S protected pack — aday only</t>
  </si>
  <si>
    <t>Batarya/şarj mimarisi Grup B; BQ24074 vb. yalnız future aday.</t>
  </si>
  <si>
    <t>B-03</t>
  </si>
  <si>
    <t>Düşük gürültülü regülatör</t>
  </si>
  <si>
    <t>Aday TBD</t>
  </si>
  <si>
    <t>AFE ölçümlerinden sonra seçilir.</t>
  </si>
  <si>
    <t>B-04</t>
  </si>
  <si>
    <t>PPG modülü</t>
  </si>
  <si>
    <t>Opsiyonel — mevcut aday yok</t>
  </si>
  <si>
    <t>OPSİYONEL</t>
  </si>
  <si>
    <t>Yalnız core tamamlanırsa</t>
  </si>
  <si>
    <t>2. dönem opsiyonel</t>
  </si>
  <si>
    <t>Çekirdek sistem dışında; yalnızca çekirdek tamamlanırsa değerlendirilecektir.</t>
  </si>
  <si>
    <t>B-05</t>
  </si>
  <si>
    <t>Özel PCB</t>
  </si>
  <si>
    <t>Optional</t>
  </si>
  <si>
    <t>Ölçüm gerekçesi varsa</t>
  </si>
  <si>
    <t>2. dönem 6+</t>
  </si>
  <si>
    <t>Özel PCB zorunlu değildir; yalnızca ölçümler gerekçelendirirse ikinci dönemde uygulanabilir.</t>
  </si>
  <si>
    <t>C-01</t>
  </si>
  <si>
    <t>GRUP C</t>
  </si>
  <si>
    <t>P0</t>
  </si>
  <si>
    <t>Osiloskop</t>
  </si>
  <si>
    <t>THKÜ</t>
  </si>
  <si>
    <t>3. hafta</t>
  </si>
  <si>
    <t>C-02</t>
  </si>
  <si>
    <t>Fonksiyon üreteci</t>
  </si>
  <si>
    <t>C-03</t>
  </si>
  <si>
    <t>Multimetre</t>
  </si>
  <si>
    <t>C-04</t>
  </si>
  <si>
    <t>Lehim istasyonu + lehim</t>
  </si>
  <si>
    <t>3. hafta audit</t>
  </si>
  <si>
    <t>C-05</t>
  </si>
  <si>
    <t>USB ses arayüzü</t>
  </si>
  <si>
    <t>Ref.</t>
  </si>
  <si>
    <t>Blok</t>
  </si>
  <si>
    <t>Üretici</t>
  </si>
  <si>
    <t>MPN / Tanım</t>
  </si>
  <si>
    <t>Parça / Değer</t>
  </si>
  <si>
    <t>Geliştirme Adedi</t>
  </si>
  <si>
    <t>Lehimli Prototip Adedi</t>
  </si>
  <si>
    <t>Özel PCB Adedi (Koşullu)</t>
  </si>
  <si>
    <t>Durum</t>
  </si>
  <si>
    <t>Teknik Not</t>
  </si>
  <si>
    <t>Kaynak</t>
  </si>
  <si>
    <t>U1</t>
  </si>
  <si>
    <t>MCU</t>
  </si>
  <si>
    <t>Espressif</t>
  </si>
  <si>
    <t>ESP32-S3-DevKitC-1-N8R8</t>
  </si>
  <si>
    <t>Geliştirme kartı</t>
  </si>
  <si>
    <t>Belirlenecek</t>
  </si>
  <si>
    <t>ÖNERİLEN — 3./4. hafta DOĞRULAMA</t>
  </si>
  <si>
    <t>Espressif / öğretim elemanı listesi</t>
  </si>
  <si>
    <t>U2A</t>
  </si>
  <si>
    <t>Dönüştürücü — ECM</t>
  </si>
  <si>
    <t>Kingstate</t>
  </si>
  <si>
    <t>KECG2740PBJ</t>
  </si>
  <si>
    <t>Analog elektret kondenser</t>
  </si>
  <si>
    <t>ECM ANA SATIN ALMA ADAYI</t>
  </si>
  <si>
    <t>U2B</t>
  </si>
  <si>
    <t>Dönüştürücü — MEMS</t>
  </si>
  <si>
    <t>PUI Audio</t>
  </si>
  <si>
    <t>U3</t>
  </si>
  <si>
    <t>ECM analog ön uç</t>
  </si>
  <si>
    <t>Uygun üretici</t>
  </si>
  <si>
    <t>KIT1</t>
  </si>
  <si>
    <t>Pasif set</t>
  </si>
  <si>
    <t>Set</t>
  </si>
  <si>
    <t>Direnç + kondansatör</t>
  </si>
  <si>
    <t>GRUP A SATIN ALMA</t>
  </si>
  <si>
    <t>Direnç/kondansatör kit veya tekil parça seçimi 3. hafta'te maliyet/ölçüm ihtiyacına göre.</t>
  </si>
  <si>
    <t>Öğretim elemanı komponent listesi</t>
  </si>
  <si>
    <t>U4</t>
  </si>
  <si>
    <t>Şarj / PowerPath</t>
  </si>
  <si>
    <t>Texas Instruments</t>
  </si>
  <si>
    <t>BQ24074RGTT</t>
  </si>
  <si>
    <t>1S Li-Ion/Li-Po şarj + PowerPath + NTC</t>
  </si>
  <si>
    <t>GELECEK ADAYI — 2. DÖNEM</t>
  </si>
  <si>
    <t>https://www.ti.com/lit/ds/symlink/bq24074.pdf</t>
  </si>
  <si>
    <t>U5</t>
  </si>
  <si>
    <t>3.3 V regülatör</t>
  </si>
  <si>
    <t>TPS63031DSKR</t>
  </si>
  <si>
    <t>Buck-boost, sabit 3.3 V</t>
  </si>
  <si>
    <t>https://www.ti.com/lit/ds/symlink/tps63031.pdf</t>
  </si>
  <si>
    <t>U6</t>
  </si>
  <si>
    <t>Düşük gürültülü LDO</t>
  </si>
  <si>
    <t>ECM analog ön uç deneme beslemesi</t>
  </si>
  <si>
    <t>J1</t>
  </si>
  <si>
    <t>USB-C</t>
  </si>
  <si>
    <t>GCT</t>
  </si>
  <si>
    <t>USB4105-GF-A-120</t>
  </si>
  <si>
    <t>USB Type-C yuvası</t>
  </si>
  <si>
    <t>YALNIZ ÖZEL PCB — KOŞULLU</t>
  </si>
  <si>
    <t>USB-C konnektör ancak özel PCB uygulanırsa gerekir; özel PCB zorunlu değildir.</t>
  </si>
  <si>
    <t>GCT / DigiKey</t>
  </si>
  <si>
    <t>ESD1</t>
  </si>
  <si>
    <t>USB ESD</t>
  </si>
  <si>
    <t>STMicroelectronics</t>
  </si>
  <si>
    <t>USBLC6-2SC6</t>
  </si>
  <si>
    <t>USB 2.0 düşük kapasitanslı ESD</t>
  </si>
  <si>
    <t>USB ESD parçası özel PCB tasarımı yapılırsa seçilecek.</t>
  </si>
  <si>
    <t>Üretici veri sayfası</t>
  </si>
  <si>
    <t>J2</t>
  </si>
  <si>
    <t>Batarya</t>
  </si>
  <si>
    <t>JST</t>
  </si>
  <si>
    <t>B3B-PH-K-S</t>
  </si>
  <si>
    <t>PH 3-pin batarya bağlantısı</t>
  </si>
  <si>
    <t>Batarya konnektör seçimi 2. dönem power architecture ile.</t>
  </si>
  <si>
    <t>JST / DigiKey</t>
  </si>
  <si>
    <t>J3</t>
  </si>
  <si>
    <t>PUI MEMS taşıyıcı</t>
  </si>
  <si>
    <t>Tasarım içi</t>
  </si>
  <si>
    <t>BAT1</t>
  </si>
  <si>
    <t>Üretici belirlenecek</t>
  </si>
  <si>
    <t>1S Li-Po ~800 mAh</t>
  </si>
  <si>
    <t>Korumalı; 3.7 V nominal; paket NTC</t>
  </si>
  <si>
    <t>ÖN</t>
  </si>
  <si>
    <t>Kesin SKU mekanik/termal inceleme sonrası.</t>
  </si>
  <si>
    <t>L1</t>
  </si>
  <si>
    <t>3.3 V güç</t>
  </si>
  <si>
    <t>1.5 µH shielded</t>
  </si>
  <si>
    <t>TPS63031 indüktörü</t>
  </si>
  <si>
    <t>C1</t>
  </si>
  <si>
    <t>3.3 V IN</t>
  </si>
  <si>
    <t>10 µF 6.3 V X7R</t>
  </si>
  <si>
    <t>TPS63031 giriş kapasitesi</t>
  </si>
  <si>
    <t>Power architecture kilitlenmedi.</t>
  </si>
  <si>
    <t>C2-C3</t>
  </si>
  <si>
    <t>3.3 V OUT</t>
  </si>
  <si>
    <t>TPS63031 çıkış kapasitesi</t>
  </si>
  <si>
    <t>R1-R2</t>
  </si>
  <si>
    <t>USB CC</t>
  </si>
  <si>
    <t>5.1 kΩ 0603</t>
  </si>
  <si>
    <t>USB-C sink Rd</t>
  </si>
  <si>
    <t>USB-C / Espressif</t>
  </si>
  <si>
    <t>R3-R4</t>
  </si>
  <si>
    <t>USB SI</t>
  </si>
  <si>
    <t>27 Ω 0603</t>
  </si>
  <si>
    <t>D+/D− seri direnç footprinti</t>
  </si>
  <si>
    <t>ÖNERİLEN TEST/AYAK İZİ</t>
  </si>
  <si>
    <t>Custom PCB olursa SI ölçümü/üretici önerisiyle.</t>
  </si>
  <si>
    <t>Espressif donanım kılavuzu</t>
  </si>
  <si>
    <t>R5-R7</t>
  </si>
  <si>
    <t>I²S SI</t>
  </si>
  <si>
    <t>33 Ω 0603</t>
  </si>
  <si>
    <t>BCLK/WS/DOUT damping footprinti</t>
  </si>
  <si>
    <t>Gerekirse ölçümle doldurulur; board tasarımı henüz dondurma değil.</t>
  </si>
  <si>
    <t>R8</t>
  </si>
  <si>
    <t>MIC SUPPLY</t>
  </si>
  <si>
    <t>10 Ω 0603</t>
  </si>
  <si>
    <t>3.3 V → MIC_3V3 izolasyonu</t>
  </si>
  <si>
    <t>ÖNERİLEN MEMS YOLU</t>
  </si>
  <si>
    <t>DSS-SYS-001</t>
  </si>
  <si>
    <t>C4</t>
  </si>
  <si>
    <t>1 µF 6.3 V X7R</t>
  </si>
  <si>
    <t>MIC_3V3 yerel bulk</t>
  </si>
  <si>
    <t>C5</t>
  </si>
  <si>
    <t>100 nF 10 V X7R</t>
  </si>
  <si>
    <t>MIC_3V3 HF bypass</t>
  </si>
  <si>
    <t>R9</t>
  </si>
  <si>
    <t>CHARGE ISET</t>
  </si>
  <si>
    <t>Şema ile hesaplanacak</t>
  </si>
  <si>
    <t>BQ24074 ISET</t>
  </si>
  <si>
    <t>BQ24074 seçilirse veri sayfası hesabı.</t>
  </si>
  <si>
    <t>R10</t>
  </si>
  <si>
    <t>CHARGE ILIM</t>
  </si>
  <si>
    <t>BQ24074 giriş akım limiti</t>
  </si>
  <si>
    <t>R11</t>
  </si>
  <si>
    <t>CHARGE ITERM</t>
  </si>
  <si>
    <t>BQ24074 sonlandırma ayarı</t>
  </si>
  <si>
    <t>R12</t>
  </si>
  <si>
    <t>CHARGE TMR</t>
  </si>
  <si>
    <t>BQ24074 güvenlik zamanlayıcısı</t>
  </si>
  <si>
    <t>NTC1</t>
  </si>
  <si>
    <t>Batarya tedarikçisi</t>
  </si>
  <si>
    <t>10 kΩ NTC</t>
  </si>
  <si>
    <t>Paket termistörü → TS</t>
  </si>
  <si>
    <t>Batarya SKU/NTC yaklaşımı 2. dönem'de seçilir.</t>
  </si>
  <si>
    <t>BQ24074 veri sayfası</t>
  </si>
  <si>
    <t>Aday</t>
  </si>
  <si>
    <t>Aile</t>
  </si>
  <si>
    <t>Arayüz</t>
  </si>
  <si>
    <t>Alt −3 dB (Hz)</t>
  </si>
  <si>
    <t>20–500 Hz Sistem Cevabı</t>
  </si>
  <si>
    <t>SNR (dB)</t>
  </si>
  <si>
    <t>Tekrarlanabilirlik</t>
  </si>
  <si>
    <t>Durum / Karar</t>
  </si>
  <si>
    <t>A</t>
  </si>
  <si>
    <t>ECM</t>
  </si>
  <si>
    <t>Analog</t>
  </si>
  <si>
    <t>Açık −3 dB belirtilmemiş; üretici aralığı 20 Hz–20 kHz</t>
  </si>
  <si>
    <t>ANA SATIN ALMA ADAYI — Same Sky CMC-6036-40T yalnız teknik/yedek adaydır.</t>
  </si>
  <si>
    <t>ECM Yedek</t>
  </si>
  <si>
    <t>Same Sky</t>
  </si>
  <si>
    <t>CMC-6036-40T</t>
  </si>
  <si>
    <t>https://www.sameskydevices.com/product/resource/cmc-6036-40t.pdf</t>
  </si>
  <si>
    <t>YEDEK ECM ADAYI — Aynı ECM ailesi; ayrı karşılaştırma ailesi değildir.</t>
  </si>
  <si>
    <t>B</t>
  </si>
  <si>
    <t>MEMS</t>
  </si>
  <si>
    <t>I²S</t>
  </si>
  <si>
    <t>Uygulama sırası</t>
  </si>
  <si>
    <t>1) Adayların veri sayfasındaki düşük frekans bilgisini kaydet. 2) 3. haftada 1 ECM + 1 MEMS satın alma adayı onayla. 3) Aynı phantom koşullarında 20–500 Hz cevap, SNR ve ≥10 tekrar ölç. 4) Nihai sensör seçimini ölçümle gerekçelendir.</t>
  </si>
  <si>
    <t>NİHAİ SEÇİM NOTU</t>
  </si>
  <si>
    <t>Bu alan yalnızca karşılaştırma ölçümleri tamamlandıktan sonra doldurulur. Öznel dinleme tek başına seçim kanıtı değildir; seçim frekans cevabı, SNR ve tekrarlanabilirlik verileriyle desteklenir.</t>
  </si>
  <si>
    <t>Test ID</t>
  </si>
  <si>
    <t>Ders Kapısı</t>
  </si>
  <si>
    <t>Proje Gate</t>
  </si>
  <si>
    <t>Test Konusu</t>
  </si>
  <si>
    <t>Düzenek</t>
  </si>
  <si>
    <t>Prosedür</t>
  </si>
  <si>
    <t>Kabul Kriteri</t>
  </si>
  <si>
    <t>Sorumlu</t>
  </si>
  <si>
    <t>İlgili SYS</t>
  </si>
  <si>
    <t>T-PRE-01</t>
  </si>
  <si>
    <t>1. dönem 3.–4. hafta</t>
  </si>
  <si>
    <t>W4 hazırlık</t>
  </si>
  <si>
    <t>ECM/MEMS LF datasheet kontrolü</t>
  </si>
  <si>
    <t>Üretici datasheetleri</t>
  </si>
  <si>
    <t>Her aday için lower −3 dB açıkça veriliyorsa kaydet; verilmiyorsa bunu belirt.</t>
  </si>
  <si>
    <t>Kaynaklı LF bilgi + satın alma aday kararı.</t>
  </si>
  <si>
    <t>Kaan (A) + Ozan sourcing</t>
  </si>
  <si>
    <t>PLANLI</t>
  </si>
  <si>
    <t>SYS-021</t>
  </si>
  <si>
    <t>T-E2E-01</t>
  </si>
  <si>
    <t>1. dönem 5. hafta</t>
  </si>
  <si>
    <t>G1</t>
  </si>
  <si>
    <t>Baştan sona bilinen test işareti</t>
  </si>
  <si>
    <t>MCU + PC</t>
  </si>
  <si>
    <t>Module B sentetik işaret üretir; Module C capture doğrular.</t>
  </si>
  <si>
    <t>Bilinen işaret E2E alınmış; continuity gözlenebilir.</t>
  </si>
  <si>
    <t>Ozan (B) + Ege (C)</t>
  </si>
  <si>
    <t>SYS-001/026</t>
  </si>
  <si>
    <t>T-I2S-01</t>
  </si>
  <si>
    <t>1. dönem 5.–6. hafta</t>
  </si>
  <si>
    <t>I²S/ADC edinim saat ve formatı</t>
  </si>
  <si>
    <t>Mantık analizörü / scope</t>
  </si>
  <si>
    <t>Ozan (B)</t>
  </si>
  <si>
    <t>SYS-003/004</t>
  </si>
  <si>
    <t>T-USB-01</t>
  </si>
  <si>
    <t>1. dönem 8. hafta</t>
  </si>
  <si>
    <t>W8</t>
  </si>
  <si>
    <t>≥30 dk continuous stream / continuity</t>
  </si>
  <si>
    <t>Native USB aday transport</t>
  </si>
  <si>
    <t>Kesintisiz stream çalıştır; sequence/overflow telemetry kaydet.</t>
  </si>
  <si>
    <t>Drop rate ve overrun sayısı otomatik raporlanır; sonuç ölçülür, önceden uydurulmaz.</t>
  </si>
  <si>
    <t>SYS-005/007</t>
  </si>
  <si>
    <t>T-USB-02</t>
  </si>
  <si>
    <t>1. dönem 5.–12. hafta</t>
  </si>
  <si>
    <t>Protocol verification</t>
  </si>
  <si>
    <t>Yeniden senkronizasyon / error handling</t>
  </si>
  <si>
    <t>Kayıtlı byte stream / test doubles</t>
  </si>
  <si>
    <t>Chosen 3. hafta framing strategy için corruption/gap testleri.</t>
  </si>
  <si>
    <t>Host failure mode documented; CRC varsa CRC test edilir.</t>
  </si>
  <si>
    <t>SYS-006</t>
  </si>
  <si>
    <t>T-AUD-01</t>
  </si>
  <si>
    <t>20–500 Hz frekans cevabı</t>
  </si>
  <si>
    <t>Akustik fantom + referans</t>
  </si>
  <si>
    <t>Complete chain swept/multitone response ölç.</t>
  </si>
  <si>
    <t>20–500 Hz response curve + conditions raporlanır; sabit ±3 dB target YOK.</t>
  </si>
  <si>
    <t>Kaan (A) + Ege (C)</t>
  </si>
  <si>
    <t>SYS-002/025</t>
  </si>
  <si>
    <t>T-AUD-02</t>
  </si>
  <si>
    <t>1. dönem 8.–10. hafta</t>
  </si>
  <si>
    <t>Characterisation</t>
  </si>
  <si>
    <t>SNR / active-to-quiescent level ratio</t>
  </si>
  <si>
    <t>Akustik fantom</t>
  </si>
  <si>
    <t>Sabit gain/coupling altında active ve quiet runs.</t>
  </si>
  <si>
    <t>Adopted SNR convention ve result dB olarak raporlanır.</t>
  </si>
  <si>
    <t>SYS-025</t>
  </si>
  <si>
    <t>T-AUD-03</t>
  </si>
  <si>
    <t>1. dönem 11. hafta</t>
  </si>
  <si>
    <t>W11</t>
  </si>
  <si>
    <t>Tekrarlanabilirlik ≥10</t>
  </si>
  <si>
    <t>Aynı yapılandırmayı en az 10 kez tekrarla.</t>
  </si>
  <si>
    <t>Spread/std/CV gibi dispersion metrics script ile raporlanır.</t>
  </si>
  <si>
    <t>T-AUD-04</t>
  </si>
  <si>
    <t>1. dönem 12. hafta</t>
  </si>
  <si>
    <t>W12</t>
  </si>
  <si>
    <t>Şebeke girişimi</t>
  </si>
  <si>
    <t>Fantom + spektrum</t>
  </si>
  <si>
    <t>Türkiye 50 Hz fundamental + harmonikleri; grounding/cable routing koşulları.</t>
  </si>
  <si>
    <t>50 Hz ve harmonik seviyeleri koşullarıyla raporlanır.</t>
  </si>
  <si>
    <t>T-AUD-05</t>
  </si>
  <si>
    <t>1. dönem 9. hafta</t>
  </si>
  <si>
    <t>G2</t>
  </si>
  <si>
    <t>Bağımsız bilinen phantom input / feasibility</t>
  </si>
  <si>
    <t>Akustik fantom + CirCor</t>
  </si>
  <si>
    <t>Kaan (A) + Ozan (B) + Ege (C)</t>
  </si>
  <si>
    <t>T-AUD-06</t>
  </si>
  <si>
    <t>1. dönem 10. hafta</t>
  </si>
  <si>
    <t>W10</t>
  </si>
  <si>
    <t>ECM / MEMS karşılaştırması</t>
  </si>
  <si>
    <t>Aynı akustik fantom</t>
  </si>
  <si>
    <t>Kaan (A) + Ege (C); Ozan data path support</t>
  </si>
  <si>
    <t>SYS-021/025</t>
  </si>
  <si>
    <t>T-LAT-01</t>
  </si>
  <si>
    <t>Uçtan uca acquisition latency</t>
  </si>
  <si>
    <t>Bilinen uyaran + donanım işaretleyicisi</t>
  </si>
  <si>
    <t>Stimulus -&gt; host sample ingestion boundary ölç.</t>
  </si>
  <si>
    <t>Latency mean/jitter betik tarafından üretilen; GUI render hariç.</t>
  </si>
  <si>
    <t>T-PKT-01</t>
  </si>
  <si>
    <t>Dropped-packet rate</t>
  </si>
  <si>
    <t>≥30 dk continuous stream</t>
  </si>
  <si>
    <t>Monotonic continuity mechanism ile missed samples/frames hesapla.</t>
  </si>
  <si>
    <t>Drop rate otomatik raporlanır.</t>
  </si>
  <si>
    <t>T-PROT-01</t>
  </si>
  <si>
    <t>S2</t>
  </si>
  <si>
    <t>Breadboard / lehimli prototip karşılaştırması</t>
  </si>
  <si>
    <t>Aynı test düzeneği</t>
  </si>
  <si>
    <t>Aynı selected acquisition chain iki construction level'da ölç.</t>
  </si>
  <si>
    <t>Noise/SNR/repeatability difference raporlanır.</t>
  </si>
  <si>
    <t>Kaan (A)</t>
  </si>
  <si>
    <t>SYS-022/025</t>
  </si>
  <si>
    <t>T-MOD-A</t>
  </si>
  <si>
    <t>2. dönem 7. hafta</t>
  </si>
  <si>
    <t>G5</t>
  </si>
  <si>
    <t>Modül A bağımsız doğrulama</t>
  </si>
  <si>
    <t>Hardware/phantom tests</t>
  </si>
  <si>
    <t>Module A own tests/interface.</t>
  </si>
  <si>
    <t>Module isolated verification complete.</t>
  </si>
  <si>
    <t>SYS-027</t>
  </si>
  <si>
    <t>T-MOD-B</t>
  </si>
  <si>
    <t>Modül B bağımsız doğrulama</t>
  </si>
  <si>
    <t>Firmware + logic analyser</t>
  </si>
  <si>
    <t>Sampling/DMA/continuity/protocol tests.</t>
  </si>
  <si>
    <t>T-MOD-C</t>
  </si>
  <si>
    <t>Modül C bağımsız doğrulama</t>
  </si>
  <si>
    <t>pcg_core + pcg_app</t>
  </si>
  <si>
    <t>Temiz depo kopyasından otomatik testler + device integration tests.</t>
  </si>
  <si>
    <t>Ege (C)</t>
  </si>
  <si>
    <t>T-QUAL-01</t>
  </si>
  <si>
    <t>1. dönem 10.–12. hafta</t>
  </si>
  <si>
    <t>W10–W12</t>
  </si>
  <si>
    <t>Kayıt kalite kontrolü</t>
  </si>
  <si>
    <t>PC app + phantom artefacts</t>
  </si>
  <si>
    <t>Calibrate threshold on phantom; inject clipping/contact-loss/interference.</t>
  </si>
  <si>
    <t>Detection behavior/rate reported; thresholds not pre-invented.</t>
  </si>
  <si>
    <t>Ege (C), Kaan artefact setup</t>
  </si>
  <si>
    <t>SYS-008/026</t>
  </si>
  <si>
    <t>T-PWR-01</t>
  </si>
  <si>
    <t>Ozan (B) + Kaan (A)</t>
  </si>
  <si>
    <t>T-PWR-02</t>
  </si>
  <si>
    <t>T-PWR-03</t>
  </si>
  <si>
    <t>T-CHAR-01</t>
  </si>
  <si>
    <t>Final characterisation</t>
  </si>
  <si>
    <t>Tam karakterizasyon kampanyası</t>
  </si>
  <si>
    <t>Akustik fantom + automation</t>
  </si>
  <si>
    <t>Mandatory six metrics + construction/conditions campaign.</t>
  </si>
  <si>
    <t>Reproducible report output.</t>
  </si>
  <si>
    <t>Team; each module owns its part</t>
  </si>
  <si>
    <t>SYS-025/026</t>
  </si>
  <si>
    <t>Rev01 Tasarım Durumu</t>
  </si>
  <si>
    <t>Alternatif / Koşullu Seçenek</t>
  </si>
  <si>
    <t>Karar Zamanı</t>
  </si>
  <si>
    <t>Karar Ölçütü</t>
  </si>
  <si>
    <t>Etkilenen Alan</t>
  </si>
  <si>
    <t>Dönüştürücü</t>
  </si>
  <si>
    <t>1 ECM ailesi + 1 MEMS ailesi</t>
  </si>
  <si>
    <t>ECM: Kingstate KECG2740PBJ ana satın alma adayı; Same Sky CMC-6036-40T yedek. MEMS: PUI DMM-4026-B-I2S-R.</t>
  </si>
  <si>
    <t>DANIŞMAN GEREKSİNİMİ + PARÇALAR AÇIK</t>
  </si>
  <si>
    <t>3. hafta seçim / 4. hafta dondurma</t>
  </si>
  <si>
    <t>Düşük frekans veri sayfası kanıtı + 20–500 Hz cevap + SNR + ≥10 tekrar</t>
  </si>
  <si>
    <t>Akustik + edinim</t>
  </si>
  <si>
    <t>Danışman planı + veri sayfaları</t>
  </si>
  <si>
    <t>Low-noise AFE required for ECM path</t>
  </si>
  <si>
    <t>MCP6022-I/P current breadboard aday</t>
  </si>
  <si>
    <t>ÖNERİLEN</t>
  </si>
  <si>
    <t>3. hafta–4</t>
  </si>
  <si>
    <t>Noise floor + gain/bandwidth + supply compatibility</t>
  </si>
  <si>
    <t>Module A</t>
  </si>
  <si>
    <t>Component list + supplier/datasheet</t>
  </si>
  <si>
    <t>MEMS yolu</t>
  </si>
  <si>
    <t>PUI DMM-4026-B-I2S-R sensör</t>
  </si>
  <si>
    <t>3.–4. hafta</t>
  </si>
  <si>
    <t>I²S zamanlaması + phantom cevabı</t>
  </si>
  <si>
    <t>B arayüzü</t>
  </si>
  <si>
    <t>PUI veri sayfası</t>
  </si>
  <si>
    <t>ESP32-S3 working aday</t>
  </si>
  <si>
    <t>3. hafta selection / 4. hafta dondurma</t>
  </si>
  <si>
    <t>I²S/ADC + DMA + native wired transport + availability</t>
  </si>
  <si>
    <t>Module B</t>
  </si>
  <si>
    <t>USB transport class</t>
  </si>
  <si>
    <t>ESP32-S3 yerel USB physical capability</t>
  </si>
  <si>
    <t>CDC-ACM vs vendor/bulk framing</t>
  </si>
  <si>
    <t>AÇIK — 3. HAFTA</t>
  </si>
  <si>
    <t>Throughput, implementation complexity, host support, observability</t>
  </si>
  <si>
    <t>B↔C</t>
  </si>
  <si>
    <t>3. hafta B↔C gereksinimleri</t>
  </si>
  <si>
    <t>Protocol integrity</t>
  </si>
  <si>
    <t>Sequence/continuity mechanism required</t>
  </si>
  <si>
    <t>Application CRC/checksum vs USB lower-layer integrity only</t>
  </si>
  <si>
    <t>Taslak; 12. hafta protokol dondurma</t>
  </si>
  <si>
    <t>Detectability, resync, CPU overhead, testability</t>
  </si>
  <si>
    <t>Breadboard + soldered prototype comparison</t>
  </si>
  <si>
    <t>Custom PCB only if measurements justify</t>
  </si>
  <si>
    <t>DANIŞMAN GEREKSİNİMİ + ÖZEL PCB KOŞULLU</t>
  </si>
  <si>
    <t>Semester I/II</t>
  </si>
  <si>
    <t>Noise + SNR + repeatability</t>
  </si>
  <si>
    <t>Hardware</t>
  </si>
  <si>
    <t>Advisor plan</t>
  </si>
  <si>
    <t>Güç</t>
  </si>
  <si>
    <t>USB power sufficient for Semester-I bench baseline</t>
  </si>
  <si>
    <t>Battery/charger/regulator architecture</t>
  </si>
  <si>
    <t>Noise, runtime, protection, power measurement</t>
  </si>
  <si>
    <t>Power</t>
  </si>
  <si>
    <t>Advisor Grup B list</t>
  </si>
  <si>
    <t>CirCor DigiScope primary</t>
  </si>
  <si>
    <t>CinC 2016 only advisor-listed alternative if needed; do not switch casually</t>
  </si>
  <si>
    <t>SABİT BİRİNCİL VERİ SETİ</t>
  </si>
  <si>
    <t>Project start</t>
  </si>
  <si>
    <t>Reproducibility</t>
  </si>
  <si>
    <t>Module C / research</t>
  </si>
  <si>
    <t>Kalem ID</t>
  </si>
  <si>
    <t>Gerçek MPN / Tanım</t>
  </si>
  <si>
    <t>Sipariş Adedi</t>
  </si>
  <si>
    <t>Ürün URL</t>
  </si>
  <si>
    <t>Sipariş Tarihi</t>
  </si>
  <si>
    <t>Teslim Tarihi</t>
  </si>
  <si>
    <t>Fiş / Sipariş No</t>
  </si>
  <si>
    <t>Akustik stetoskop göğüs başlığı</t>
  </si>
  <si>
    <t>MEMS mikrofon (dijital)</t>
  </si>
  <si>
    <t>Düşük gürültülü operasyonel yükselteç</t>
  </si>
  <si>
    <t>Küçük transdüser / eksitör</t>
  </si>
  <si>
    <t>Silikon levha / jel ped</t>
  </si>
  <si>
    <t>Breadboard + jumper seti</t>
  </si>
  <si>
    <t>Düşük gürültülü gerilim regülatörü</t>
  </si>
  <si>
    <t>Fotopletismografi (PPG) modülü</t>
  </si>
  <si>
    <t>Özel baskı devre kartı</t>
  </si>
  <si>
    <t>TOPLAM GERÇEKLEŞMİŞ HARCAMA (TRY)</t>
  </si>
  <si>
    <t>Kayıt kuralı: Gerçek sipariş dışında fiyat hücreleri doldurulmaz. Canlı aday fiyat/stok verisi Satın_Alma sayfasındadır; sipariş anında tekrar doğrulanır.</t>
  </si>
  <si>
    <t>DİJİTAL STETOSKOP — SATIN ALMA VE TEST ÇALIŞMA KİTABI | REV02</t>
  </si>
  <si>
    <t>REV02 closeout — teknik güvenlik ve sipariş hazırlığı (13.10.2026): ESP32-S3 SAR ADC vardır; ADC1 yalnız bench yolu, PCG audio-grade varsayılmaz. PCM1808 onayı yalnız A-23 kalemini bekletir; diğer Grup A kalemleri kendi kontrolleriyle bağımsız ilerleyebilir. A-03 PUI EB-R adedi 3 (2 bench +1 yedek); Farnell 12.10.2026 tarihli stok snapshot'ı 14 ve üretici standart lead time 22 haftadır; ilk W4 sipariş partisine alınır, Türkiye sepeti ayrıca doğrulanır. A-08 PAM8403 adedi 2 (1 kullanım +1 yedek); üretici IC için NRND/EOL riski vardır, yalnız bench prototip adayıdır. 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Rail-noise/SNR baseline en geç W6; ölçüm gerekçelendirirse doğrulanmış LDO modülüyle opsiyonel A/B W10.</t>
  </si>
  <si>
    <t>Test ID standardı</t>
  </si>
  <si>
    <t>Test_Matrisi (REV02) canonical kayıt; DOCX DSS-SYS-001 Rev02 ve Ek C ile eşleştirilmiştir.</t>
  </si>
  <si>
    <t>PWR-01…06 ile T-PWR-01…06 eşleştirilmiştir; açık inceleme kalemleri ve koşullu PCB testleri Rev02 matrisinde izlenir.</t>
  </si>
  <si>
    <t>GRUP A — W4 HEDEFİ / KALEM BAZLI KONTROL</t>
  </si>
  <si>
    <t>W4'te sipariş hedefidir; yalnız exact ürün/MPN, gerçek tedarik bağlantısı, stok/fiyat, mekanik ve elektriksel uyum kontrolü tamamlanan kalemler alınır. Açık geometri/bağlantı kalemleri otomatik satın alınmaz. PCM1808 kararı sadece A-23 modül kalemini bekletir.</t>
  </si>
  <si>
    <t>ADC karar kuralı</t>
  </si>
  <si>
    <t>ESP32-S3 ADC mevcuttur; audio-grade uygunluk açık</t>
  </si>
  <si>
    <t>ADC ve sipariş kapısı: ESP32-S3 SAR ADC mevcuttur; ilk dahili analog bench denemesi ADC1 üzerinden yapılır, audio-grade performans varsayılmaz (ADC2 continuous/DMA kısıtlıdır). Danışman kararı ve doğrulanmış gerçek breakout şeması olmadan yalnız PCM1808 tabanlı harici I²S ADC modülü sipariş edilmez. Bu ön koşul yalnız PCM1808 kalemi için geçerlidir; ESP32-S3 DevKitC-1, Kingstate ECM, PUI EB-R, op-amp ve kendi teknik/tedarik kontrolleri tamamlanmış diğer bağımsız Grup A kalemleri ADC yanıtını beklemeden sipariş edilebilir. C-05 bölümde yoktur; kişisel 3,5 mm→USB dongle analog INPUT/capture, 20–500 Hz yanıt, AC-kuplaj/high-pass, mic bias, gain/AGC, sample-rate ve kanal özellikleri doğrulanana kadar kalibre referans veya C-05 eşdeğeri sayılmaz. 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t>
  </si>
  <si>
    <t>SATIN ALMA PLANI — GRUP A / B / C | REV02</t>
  </si>
  <si>
    <t>REV02: Kritik açık kararlar ayrı aksiyon sayfasında izlenir. Satır fiyat/stok bilgileri tarihli araştırma anlık görüntüsüdür; siparişten hemen önce canlı sepet ve teslimat teyidi gerekir.</t>
  </si>
  <si>
    <t>BEKLE — siparişten önce exact ürün modeli/SKU ve fantom uyumu netleştirilmeli.</t>
  </si>
  <si>
    <t>Farnell TR: stoktan standart teslim; sipariş ekranında teyit</t>
  </si>
  <si>
    <t>3. hafta seçim / 4. hafta sipariş</t>
  </si>
  <si>
    <t>Toplam 4 adet: 2 adet temel grup gereksinimi + 2 yedek/elleçleme payı. Birim fiyat 30.09.2026 araştırma anlık görüntüsüdür; stok ve fiyat sipariş öncesi canlı sepette teyit edilir. Rated aralık 20 Hz–20 kHz; açık alt −3 dB noktası üretici sayfasında belirtilmemiştir. Same Sky CMC-6036-40T, MOQ 500 nedeniyle küçük miktarlı sipariş yedeği değildir.</t>
  </si>
  <si>
    <t>P1 — ilk sipariş partisi / uzun teslim riski</t>
  </si>
  <si>
    <t>Dijital MEMS mikrofon değerlendirme kartı / bench numunesi</t>
  </si>
  <si>
    <t>Sensör MPN: PUI DMM-4026-B-I2S-R; satın alınacak ürün: DMM-4026-B-I2S-EB-R değerlendirme kartı (EB-R).</t>
  </si>
  <si>
    <t>Farnell stok snapshot'ı 12.10.2026: 14 adet; bölgesel/Türkiye sepet stoğu ve teslim tarihi sipariş öncesi canlı teyit edilmeli.</t>
  </si>
  <si>
    <t>Üretici standart lead time 22 hafta (12.10.2026 kaydı); bu süre Türkiye'ye fiilî teslim garantisi değildir. İlk W4 sipariş partisine alın.</t>
  </si>
  <si>
    <t>https://puiaudio.com/file/specs-DMM-4026-B-I2S-EB-R.pdf</t>
  </si>
  <si>
    <t>W4 ilk sipariş partisi — 3 adet (2 bench + 1 yedek); kablolama öncesi pad/rail teyidi</t>
  </si>
  <si>
    <t>3 adet DMM-4026-B-I2S-EB-R: 2 bench kullanım + 1 yedek/uzun teslimat riski. Satın alınacak ürün EB-R değerlendirme kartıdır; ham sensör DMM-4026-B-I2S-R ayrı MPN'dir. PUI ürün bilgisi VCC standardı 1,8 V, VCC max 3,6 V olarak listeler; 5 V doğrudan bağlanmaz. Farnell stok snapshot'ı 12.10.2026: 14 adet; üretici standard lead time 22 hafta; ilk W4 sipariş partisine alın, Türkiye sepeti/teslimatını canlı teyit edin. EB-R pad map ve onboard rail/topolojisi doğrulanmadan kablolama yok. Üretici teyidiyle 3,3 V besleme kabul edilirse DevKit 3V3 → yerel seri R + C/dekuplaj MEMS kolu denenebilir; RC filtre/dekuplajdır, gerilim düşürücü/regülatör değildir. Rayı sensör yanında ölçün ve 1,5–3,6 V aralığında tutun; 3,3 V kabulü teyit edilmezse bağlamayın.</t>
  </si>
  <si>
    <t>4. hafta sipariş</t>
  </si>
  <si>
    <t>MCP6022-I/P, DIP-8 breadboard adayıdır; 5 adet danışman listesindeki satın alma miktarıdır. Kaan kazanç/bant genişliği/gürültü testleriyle AFE topolojisini doğrular. Pasif değerleri test öncesinde kesinleştirilmez.</t>
  </si>
  <si>
    <t>BEKLE — kit içeriği, exact ürün SKU'su ve daha ekonomik değer listesi kıyaslanmalı.</t>
  </si>
  <si>
    <t>Kit toplamı 1.152,38 TL; bunun 1.004,12 TL kısmı kondansatör setidir. Alım öncesi daha küçük R/C kiti veya gerekli tekil değerlerin toplam maliyeti kıyaslanmalı; ölçümle ihtiyaç duyulmayan büyük set otomatik alınmamalıdır.</t>
  </si>
  <si>
    <t>İki adet DATA destekli USB 2.0 kablosu gerekir: resmi DevKitC-1 v1.1 kılavuzu Standard-A → Micro-B kablosu listeler. Native USB ve USB-UART/log portlarının her birine bir kablo ayrılır. Sipariş öncesinde teslim edilecek kartın fiziksel konnektör/revizyonu tekrar kontrol edilir; yalnız şarj kablosu kabul edilmez.</t>
  </si>
  <si>
    <t>Birincil eksiter adayı. 20–500 Hz düz cevap garantisi yoktur; fantom testinde gerçek davranışı ölçülür. İkinci, farklı tipte eksiter koşullu yedek olarak Rev02_Ek_Kalemler sayfasında izlenir.</t>
  </si>
  <si>
    <t>Robotistan ürün kodu 16177: 2×3 W mini Class-D amfi modülü (PAM8403)</t>
  </si>
  <si>
    <t>https://www.robotistan.com/3w-2ch-mini-sound-amp-board-pam8403</t>
  </si>
  <si>
    <t>FİYAT/STOK ÇELİŞKİSİ — kullanıcı arayüzü gözlemi 13.10.2026: 21,65 TL KDV dahil ve “stokta yok”. Aynı tarihte erişilebilen genel ürün sayfası 19,72 TL KDV dahil + “Add to Cart” gösteriyor; sayfa önbelleği/bölge/oturum farkı olabilir. Sepet/satıcı teyidi gelmeden fiyat ve stok kesin değildir. PAM8403 IC NRND/EOL riski nedeniyle yalnız bench prototip adayı.</t>
  </si>
  <si>
    <t>Türkiye içi; canlı checkout doğrulaması</t>
  </si>
  <si>
    <t>W4 bench adayı — 2 adet (1 kullanım + 1 yedek); ürün ömrü/uygunluk notu okunmalı</t>
  </si>
  <si>
    <t>2 adet: 1 fantom deneyi + 1 yedek/alternatif kurulum; iki modülün paralel bağlanması planlanmıyor. Robotistan ürün kodu 16177 ve bağlantı doğrudan ürün sayfasına güncellendi. Üretici PAM8403 sayfası IC'yi NRND olarak işaretler ve 22.07.2026 uygulama tarihli EOL duyurusu listeler; bu yüzden yalnız düşük bütçeli laboratuvar prototipi için mevcut stoktan adaydır, uzun ömürlü tasarım baseline'ı değildir. A-07 eksiter 12 Ω olduğundan, datasheet'in 4/8 Ω güç rakamları doğrudan varsayılmaz; ses seviyesi/20–500 Hz zincir davranışı bench'te doğrulanır. Class-D BTL çıkışında hoparlör uçları GND'ye bağlanmaz ve L/R çıkışları birbirine bağlanmaz; tek kanal kullanılır. Besleme 5 V, DevKit 3V3 MEMS rayından ayrı tutulur. Datasheet/lifecycle: https://www.diodes.com/part/view/PAM8403</t>
  </si>
  <si>
    <t>BEKLE — Kaan fantom geometrisi, numune/kesim ve gerekli miktarı onaylamalı.</t>
  </si>
  <si>
    <t>3 mm, 1 m × 0,25 m levha mevcut tahmindir ve maliyetlidir. Önce Kaan'ın fantom geometrisi/kuplaj ihtiyacı belirlenmeli; küçük numune veya kesim seçeneği kontrol edilmeden tam levha sipariş edilmemelidir.</t>
  </si>
  <si>
    <t>BEKLE — exact malzeme SKU/ölçü/kesim ve çerçeve geometrisi tamamlanmalı.</t>
  </si>
  <si>
    <t>Bağlantı/ölçü kesinleşince tam ürün SKU'su ve satıcı sayfası seçilecek. Mevcut Trendyol kategori/listeme URL'si sipariş kanıtı değildir; geometrisi belli olmadan sipariş verme.</t>
  </si>
  <si>
    <t>Jumper seti / bağlantı kablosu tüketimleri</t>
  </si>
  <si>
    <t>Robotistan 140 parça jumper wire kit; bölümdeki mevcut breadboard kullanılacak</t>
  </si>
  <si>
    <t>https://www.robotistan.com/140-parca-kutulu-jumper-kablo-kiti-140-piece-jumper-wire-kit</t>
  </si>
  <si>
    <t>Stok göstergeleri sipariş öncesi tekrar kontrol edilmeli</t>
  </si>
  <si>
    <t>Türkiye içi; 4. hafta sipariş ekranında fiyat/stok teyidi</t>
  </si>
  <si>
    <t>Eksik M-M / F-F / M-F jumper, solid-core wire ve uygun header parçaları</t>
  </si>
  <si>
    <t>https://www.robotistan.com/jumper-kablo</t>
  </si>
  <si>
    <t>KOŞULLU — önce bölüm stoğu ve set içeriği sayılmalı; yalnız eksikler alınmalı.</t>
  </si>
  <si>
    <t>Bölümde tekrar kullanılabilir breadboard bulunduğu Ozan tarafından 12.10.2026 tarihinde bildirildi; breadboard tekrar satın alınmayacaktır. 89,19 TL, önceki fiyat anlık görüntüsünde jumper kiti için listelenen tutardır; sipariş günü canlı fiyat/stok teyit edilir. Gerçekte eksik olan jumper türleri/teller ayrıca kontrol edilir.</t>
  </si>
  <si>
    <t>BEKLE — nihai satıcı/ürün, kablo topolojisi ve AFE uçları belirlenmeli.</t>
  </si>
  <si>
    <t>XLR hazır kablo yalnızca kesilip kullanılabilecek bir kablo adayıdır; ECM'nin iki uçlu bağlantısı için doğrudan XLR zorunluluğu yoktur. Tercih: uygun ekranlı iki damarlı kablo + AFE/konektör topolojisine uygun uçlar. Akakçe karşılaştırma URL'si sipariş için nihai satıcı sayfası değildir.</t>
  </si>
  <si>
    <t>Bölümde mevcut olduğu Ozan tarafından 12.10.2026 tarihinde bildirildi</t>
  </si>
  <si>
    <t>MEVCUT OLDUĞU BİLDİRİLDİ — SATIN ALINMAYACAK</t>
  </si>
  <si>
    <t>Bölüm/laboratuvardan; test öncesi cihaz kimliği/erişim teyidi</t>
  </si>
  <si>
    <t>Osiloskop / DSO: Ozan 12.10.2026 tarihinde bölümde mevcut olduğunu bildirdi. Satın alınmayacak. Mevcutluk kalibrasyon, gürültü tabanı, bant genişliği veya ölçüm performansını doğrulamaz; ölçümden önce cihaz ve erişim koşulları kaydedilir.</t>
  </si>
  <si>
    <t>Fonksiyon üreteci: Ozan 12.10.2026 tarihinde bölümde mevcut olduğunu bildirdi. Satın alınmayacak. Mevcutluk kalibrasyon, gürültü tabanı, bant genişliği veya ölçüm performansını doğrulamaz; ölçümden önce cihaz ve erişim koşulları kaydedilir.</t>
  </si>
  <si>
    <t>Multimetre: Ozan 12.10.2026 tarihinde bölümde mevcut olduğunu bildirdi. Satın alınmayacak. Mevcutluk kalibrasyon, gürültü tabanı, bant genişliği veya ölçüm performansını doğrulamaz; ölçümden önce cihaz ve erişim koşulları kaydedilir.</t>
  </si>
  <si>
    <t>Lehim istasyonu + lehim: Ozan 12.10.2026 tarihinde bölümde mevcut olduğunu bildirdi. Satın alınmayacak. Mevcutluk kalibrasyon, gürültü tabanı, bant genişliği veya ölçüm performansını doğrulamaz; ölçümden önce cihaz ve erişim koşulları kaydedilir.</t>
  </si>
  <si>
    <t>GRUP C — OPSİYONEL / BÖLÜMDEN ÖDÜNÇ</t>
  </si>
  <si>
    <t>P2 — ZORUNLU DEĞİL</t>
  </si>
  <si>
    <t>Bölüm/laboratuvarda mevcut değil; kişisel 3,5 mm→USB adaptörü olduğu bildirildi, henüz incelenmedi</t>
  </si>
  <si>
    <t>BÖLÜMDE YOK; KİŞİSEL ADAPTÖR DOĞRULANACAK</t>
  </si>
  <si>
    <t>İsteğe bağlı deneysel kayıt; cihaz uygunluğu kontrolü</t>
  </si>
  <si>
    <t>Opsiyonel; ADC mimarisi kararının yerine geçmez</t>
  </si>
  <si>
    <t>Öğretim elemanı listesinde USB audio interface, bölümden ödünç alınabilecek faydalı fakat zorunlu olmayan referans ölçüm aracıdır. Ozan'ın bildirimine göre bölümde mevcut değildir. Ozan'da bulunan 3,5 mm→USB adaptörünün gerçek modeli ve yönü doğrulanmalıdır: analog girişli USB capture mı, yalnız USB→kulaklık DAC çıkışı mı? Input range/coupling, mic bias, AGC/gain ve supported sample formats kontrol edilmeden C-05 eşdeğeri veya kalibre referans sayılmaz. PCM1808 kararı bundan bağımsız olarak danışmanla açık kalır.</t>
  </si>
  <si>
    <t>GRUP A LİSTELENEN FİYAT SNAPSHOT ARA TOPLAMI — SİPARİŞE HAZIR TOPLAM DEĞİLDİR</t>
  </si>
  <si>
    <t>Satın_Alma!J28 tutarı A-01…A-12 satırlarının listelenen yerel TRY fiyat/qty snapshot toplamıdır; siparişe hazır sepet değildir. Fiyat_Kontrol sayfası Farnell EUR liste fiyatlarını aynı kur/KDV varsayımıyla çapraz kontrol eder; bu tahminler yerel sepet fiyatı yerine geçmez. Açık geometri/ürün-linki/kit-içeriği kalemleri, kablo ve diğer ekler, kargo/gümrük ve checkout farklılıkları bu ara toplama dahil değildir. Siparişe hazır olma durumunu Sipariş_Hazırlık sayfasından kontrol et.</t>
  </si>
  <si>
    <t>Satın alma kuralı: parçalar aynı işlevi gördükleri için otomatik eşdeğer sayılmaz. Exact MPN, gerçek ürün sayfası, paket, elektriksel arayüz, mekanik ölçü, stok ve teslimat siparişten önce doğrulanır. Açık kararlar Rev02_Karar_Aksiyon'da kayıtlıdır.  CMC-6036-40T teknik aday Farnell'de MOQ 500 olduğu için satın alma için birincil aday yapılmadı; KECG2740PBJ uygulanabilir ECM satın alma adayı olarak eklendi.</t>
  </si>
  <si>
    <t>CMC-6036-40T teknik aday Farnell'de MOQ 500 olduğu için satın alma için birincil aday yapılmadı; KECG2740PBJ uygulanabilir ECM satın alma adayı olarak eklendi.</t>
  </si>
  <si>
    <t>ELEKTRONİK / EDİNİM ARAYÜZÜ MİMARİ ÖN BOM | REV02</t>
  </si>
  <si>
    <t>Bu sayfa elektronik/edinim mimarisinin ön BOM kaydıdır; mekanik fantom, kablo ve tedarik yardımcıları Satın_Alma ve Rev02_Ek_Kalemler'de izlenir. Açık pinout ve ECM ADC yolu doğrulanmadan üretim BOM'u/dizgi dondurulmaz.</t>
  </si>
  <si>
    <t>ESP32-S3-DevKitC-1-N8R8 çalışma adayı. MCU içinde iki adet 12-bit SAR ADC bulunur; ADC1 continuous/DMA yolu denenebilir, ancak audio-grade performans varsayılmaz ve bench ile karakterize edilir. Güncel ESP-IDF kılavuzu ADC2 DMA için donanım kısıtı bildirir. ECM yolu C-05 / internal ADC1 test / danışman onaylı harici I²S ADC kararı kapanmadan nihai kabul edilmez. Kesin board varyantı ve USB kablo uçları fiziksel kontrolle doğrulanır.</t>
  </si>
  <si>
    <t>ECM aile adayının geliştirme kullanım miktarı 2 olarak gösterilir; satın alma sayfasındaki toplam sipariş planı 4 adettir (2 kullanım + 2 yedek/elleçleme payı). Same Sky CMC-6036-40T yalnız teknik referanstır; MOQ 500 küçük adetli satın alma için pratik değildir. Nihai sensör seçimi fantom ölçümlerine bağlıdır.</t>
  </si>
  <si>
    <t>DMM-4026-B-I2S-EB-R</t>
  </si>
  <si>
    <t>I²S MEMS değerlendirme kartı; üzerindeki sensör DMM-4026-B-I2S-R</t>
  </si>
  <si>
    <t>GRUP A — DEĞERLENDİRME KARTI SATIN ALMA ADAYI</t>
  </si>
  <si>
    <t>Satın alınacak fiziksel ürün EB-R'dir. PUI resmi EB veri sayfası I²S/veri/gerilim özelliklerini gösterir; bu revizyonda fiziksel pad numarası-to-sinyal eşlemesi teyit edilmiş değildir. Eski 6-pin haritası onaylı pinout değildir. PUI'dan resmi pad map/CAD veya yazılı teyit alınmadan kablo bağlantısı dondurulmaz. Breadboard ve lehimli prototipte EB-R kullanılabilir; ayrı özel J3 carrier PCB kaldırılmıştır. Geliştirme adedi 2 olarak korunur (iki bench kullanım/karşılaştırma noktası); Satın_Alma A-03 miktarı 3 = 2 kullanım + 1 yedek. Adet farkı kasıtlıdır ve yeni bir J3/carrier kartı anlamına gelmez.</t>
  </si>
  <si>
    <t>MCP6022-I/P</t>
  </si>
  <si>
    <t>DIP-8 düşük gürültülü op-amp adayı; ECM breadboard AFE</t>
  </si>
  <si>
    <t>BREADBOARD ADAYI — TEST BEKLENİYOR</t>
  </si>
  <si>
    <t>MCP6022-I/P yalnız breadboard AFE adayıdır. Kazanç, bias, band sınırlama/anti-aliasing ve edinim arayüzü Kaan'ın testleri ve Modül B/danışman kararından önce kilitlenmez. ECM sayısallaştırma seçenekleri: C-05 USB audio interface, internal ADC1 bench assessment, or advisor-approved external I²S ADC.</t>
  </si>
  <si>
    <t>https://www.microchip.com/en-us/product/mcp6022</t>
  </si>
  <si>
    <t>Gelecek dönem adayıdır; bare QFN paket perfboard'a doğrudan lehimlenebilir kabul edilmez. S2'de benimsenirse uygun breakout/evaluation module veya doğru footprint/pasifler/yerleşim içeren tasarlanmış PCB gerekir. Şarj mimarisi bu revizyonda kilitli değildir.</t>
  </si>
  <si>
    <t>Gelecek dönem adayıdır; çıplak WSON paket perfboard'a elle lehimlenebilir kabul edilmez. S2'de kullanılacaksa uyumlu breakout/evaluation modülü veya datasheet'e uygun footprint, pasifler ve yerleşim içeren tasarlanmış PCB gerekir; bu revizyonda lehimli prototip adedi 0'dır. Benimsenme kararı ve uygulama devresi/yerleşimi 2. dönemde doğrulanır.</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</si>
  <si>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LDO satın alma zorunlu değildir; rail-noise/SNR baseline W6'ya kadar, gerekirse W10'da opsiyonel LDO A/B yapılır.</t>
  </si>
  <si>
    <t>KALDIRILDI — özel 6-pin MEMS taşıyıcı PCB</t>
  </si>
  <si>
    <t>Satın alınacak PUI EB-R üzerinde doğrudan arayüz; ayrı PCB varsayılmıyor</t>
  </si>
  <si>
    <t>REV02 — KALDIRILDI</t>
  </si>
  <si>
    <t>Rev01'deki altı-pin taşıyıcı kart ticari parça değildir ve EB pad haritası doğrulanmadan gerekçelendirilemez. PUI EB-R kablolu/lehime uygun padleri üzerinden denenir; adaptör gerekiyorsa resmi çizim ve bench ihtiyacına göre ayrıca karar alınır.</t>
  </si>
  <si>
    <t>Each TPS63031 power stage needs its corresponding inductor per the selected TI reference design. U5 development quantity is 2, so the planned development quantity of L1 is corrected to 2. Group B / second term only; value/package remain to be confirmed from the final power design.</t>
  </si>
  <si>
    <t>USB-C sink Rd resistors, only if a custom USB-C carrier is approved; not needed when using the DevKitC-1's native USB connector.</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</si>
  <si>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R8 10 Ω seri direnç yalnız filtre/rail izolasyonu denemesi içindir; gerçek değer yük/rail ölçümüne göre doğrulanır.</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</si>
  <si>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1 µF yerel bulk C; board-level pinout/onboard rail kesinleşmeden bağlanmaz.</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</si>
  <si>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100 nF HF bypass; board-level pinout/onboard rail kesinleşmeden bağlanmaz.</t>
  </si>
  <si>
    <t>U7</t>
  </si>
  <si>
    <t>ECM harici audio ADC (koşullu)</t>
  </si>
  <si>
    <t>Texas Instruments / module seller</t>
  </si>
  <si>
    <t>PCM1808 tabanlı hazır I²S ADC breakout — exact module SKU TBD</t>
  </si>
  <si>
    <t>ECM için koşullu harici ADC adayı; çıplak IC/özel PCB değil</t>
  </si>
  <si>
    <t>HARİCİ ADC ADAYI — DANIŞMAN ONAYI GEREKLİ</t>
  </si>
  <si>
    <t>PCM1808 tabanlı harici I²S ADC yalnız güçlü adaydır; F/G/H adetleri 0 olduğundan satın alma veya özel PCB bileşeni değildir. Danışman onayı olmadan alınmaz. Onaylanırsa hazır breakout/modül seçilir; exact schematic üzerinden MCLK/SCKI, I²S BCK/LRCK/DOUT, MD/FMT straps, 5 V analog + 3,3 V digital rails, input coupling/full-scale ve pad/connector mapping doğrulanır. 99 dB tipik SNR, IC datasheet değeridir; sistem performansı değildir.</t>
  </si>
  <si>
    <t>https://www.ti.com/lit/ds/symlink/pcm1808.pdf</t>
  </si>
  <si>
    <t>NOT — Öğretim elemanı komponent listesi satın alma miktarlarında üst seviye girdidir. Nihai üretim BOM'u Altium şemasından çıkarılacaktır. PCM1808 satırı koşullu mimari adayıdır, sipariş edilen parça değildir.</t>
  </si>
  <si>
    <t>DÖNÜŞTÜRÜCÜ KARŞILAŞTIRMA VE SEÇİM KAYDI | REV02</t>
  </si>
  <si>
    <t>Final comparison remains 1 ECM + 1 MEMS under the same phantom conditions. For ECM, digitalization architecture is a separate Week-3 decision: C-05 USB audio interface, ESP32-S3 internal ADC1 continuous/DMA bench assessment, or advisor-approved external PCM1808 I²S ADC. Internal ADC audio-grade performance is not assumed; external breakout must be checked for clock/power/format/input interface.</t>
  </si>
  <si>
    <t>Danışman gereksinimi: aynı fantom koşullarında 1 ECM ailesi + 1 MEMS ailesi karşılaştırılır. Sensör MPN'leri sabit tutulurken ECM'nin sayısallaştırma yolu ayrıca karara bağlanır: C-05 USB ses arayüzü, ESP32-S3 ADC1 bench değerlendirmesi veya danışman onaylı PCM1808 tabanlı harici I²S ADC. PCM1808 final seçim değildir; breakout şeması ve saat/besleme/format/padleri doğrulanmalıdır.</t>
  </si>
  <si>
    <t>Sensör: DMM-4026-B-I2S-R; satın alma/bench kartı: DMM-4026-B-I2S-EB-R</t>
  </si>
  <si>
    <t>https://puiaudio.com/file/specs-DMM-4026-B-I2S-EB-R.pdf
Sensör verisi: https://puiaudio.com/file/specs-DMM-4026-B-I2S-R.pdf</t>
  </si>
  <si>
    <t>MEMS satın alma adayı: EB-R evaluation board. I²S/gerilim özellikleri üretici tarafından tanımlı; fiziksel pad numarası eşlemesi açık. PUI'dan board pad map/CAD/written confirmation istenecek. Aynı fantom koşullarında cevap, SNR ve repeatability ölçülmeden nihai seçim yapılmaz.</t>
  </si>
  <si>
    <t>DOĞRULAMA TEST MATRİSİ — DERS KAPILARI + MÜHENDİSLİK TESTLERİ | REV02</t>
  </si>
  <si>
    <t>Canonical Rev02 test register. G1 (W5) = known/synthetic electrical/digital signal E2E; G2 (W9) = independently known PCG replay through acoustic phantom. Open interface/sourcing decisions are tracked in Rev02_Karar_Aksiyon. Numeric acceptance thresholds are not invented before bench baseline/uncertainty.</t>
  </si>
  <si>
    <t>Seçilen edinim yolunu doğrula: PUI EB-R gerçek pad map'i ve I²S clock/data; ECM için C-05, seçilmiş ADC1 continuous/DMA bench yolu veya onaylı PCM1808 ise MCLK/SCKI, BCK/LRCK/DOUT, format/strap ve besleme koşulları datasheet/modül şemasıyla kontrol edilir. Dahili ADC denemesinde ADC1 kullanılır; güncel ESP-IDF ESP32-S3 kılavuzu ADC2 DMA için donanım kısıtı bildirir.</t>
  </si>
  <si>
    <t>Seçilen yolun gerçek waveform/sample formatı doğrulanır; ESP32-S3 ADC1 yolu audio-grade kabul edilmez, performansı ölçülür. PCM1808 yalnız onaylı ve şeması doğrulanmış breakout ile test edilir.</t>
  </si>
  <si>
    <t>Known PCG is played through the audio amplifier/exciter into the phantom. Include a reproducible synchronization marker at the start (or a documented equivalent). Align source and captured records by marker/cross-correlation; apply documented gain normalization; compute normalized correlation and normalized RMS error. Archive source, captured raw data, alignment offset, normalization factor and script.</t>
  </si>
  <si>
    <t>S1/S2 recognizable on phantom playback; alignment/normalization performed and quantitative metrics reported. Numeric pass threshold is set and recorded before the formal G2 run using bench repeatability/uncertainty, not invented in advance.</t>
  </si>
  <si>
    <t>ECM ve MEMS aynı akustik fantom, eksitasyon, mekanik temas, kazanç hedefi ve ölçüm bant genişliğinde karşılaştırılır. ECM tarafında AFE+ADC edinim yolu ayrıca belgelenir. ADC gürültü tabanı ayrıca ölçülür: ADC girişi güvenli ve tanımlı test noktasında sonlandırılır veya geçerli ise AFE kapatılır; bilinmeyen pin/çıkışlar kısa devre edilmez. ADC/AFE-only RMS/FFT/noise floor kaydedilerek sensör farkı elektronik edinim farkından ayrıştırılır. Gain/fixture/rail koşulları ve dijital full-scale kullanım oranı raporlanır.</t>
  </si>
  <si>
    <t>20–500 Hz response/SNR comparison plus ADC-only noise floor; gain/fixture conditions documented. Final transducer choice measurement-justified. Repeatability campaign W11; thresholds from bench uncertainty, not invented.</t>
  </si>
  <si>
    <t>1. dönem / bench</t>
  </si>
  <si>
    <t>W4/G0 — core USB bench</t>
  </si>
  <si>
    <t>USB-only bench operation / rail stability</t>
  </si>
  <si>
    <t>DevKit + bench supply / USB</t>
  </si>
  <si>
    <t>Run MCU/core chain from USB 5 V into the DevKit board input only, battery disconnected. Measure current and onboard rails. Never route USB 5 V to MEMS/AFE rails. For a separate MEMS test, first obtain PUI EB-R pad map and board-level power/rail confirmation. PUI product data lists VCC standard 1.8 V and maximum 3.6 V. Only if PUI confirms 3.3 V is acceptable for the actual EB-R supply pad, candidate path is DevKit 3V3 → local series R + C/decoupling → MEMS VCC. RC filters/decouples; it does not regulate 3.3 V down to 1.8 V. Measure at the sensor rail before enabling clocks/acquisition and keep it within 1.5–3.6 V. If 3.3 V acceptance is not confirmed, do not connect; design/verify a regulated 1.8 V path separately.</t>
  </si>
  <si>
    <t>USB bench path stable; measured voltage/current and setup recorded (PWR-01).</t>
  </si>
  <si>
    <t>SYS-011 / PWR-01</t>
  </si>
  <si>
    <t>Battery operation (conditional second-semester test)</t>
  </si>
  <si>
    <t>Chosen protected 1S Li-Po pack + selected power path</t>
  </si>
  <si>
    <t>Only if battery architecture is approved: test operation at defined battery states; log rail voltage and behavior.</t>
  </si>
  <si>
    <t>Nominal 3.3 V rail remains within selected component/data-sheet limits; report measurements (PWR-02).</t>
  </si>
  <si>
    <t>SYS-012/014 / PWR-02</t>
  </si>
  <si>
    <t>Charge / protection / NTC behavior (conditional)</t>
  </si>
  <si>
    <t>Selected 1S pack + charger/power-path</t>
  </si>
  <si>
    <t>Only if charger architecture is approved: test charge status and temperature/protection fault behavior against selected component and pack data sheets.</t>
  </si>
  <si>
    <t>Charge/protection/temperature response matches selected design limits and is recorded (PWR-03).</t>
  </si>
  <si>
    <t>SYS-012/014 / PWR-03</t>
  </si>
  <si>
    <t>T-AUTO-01</t>
  </si>
  <si>
    <t>1. dönem / sürekli</t>
  </si>
  <si>
    <t>Otomatik / yeniden üretilebilir sonuç</t>
  </si>
  <si>
    <t>Temiz depo kopyası + test scriptleri</t>
  </si>
  <si>
    <t>Aynı girdilerle test/ölçüm scriptlerini temiz kopyadan yeniden çalıştır.</t>
  </si>
  <si>
    <t>Aynı girdilerle aynı sayısal sonuçlar; elle girilmiş ölçüm sonucu yok.</t>
  </si>
  <si>
    <t>Ege (C) + ilgili modül sahibi</t>
  </si>
  <si>
    <t>SYS-026</t>
  </si>
  <si>
    <t>T-PWR-04</t>
  </si>
  <si>
    <t>2. dönem / koşullu</t>
  </si>
  <si>
    <t>Brownout / düşük besleme / reset davranışı</t>
  </si>
  <si>
    <t>Seçilen güç kaynağı + ESP32-S3 + PC stream</t>
  </si>
  <si>
    <t>Besleme düşüşü kontrollü uygulanır; reset/yeniden başlama ve kayıt sürekliliği gözlenir. DevKit sınırları aşılmaz.</t>
  </si>
  <si>
    <t>Güvenli reset/yeniden başlama davranışı ve olay kaydı; bileşen limitleri korunur (PWR-04).</t>
  </si>
  <si>
    <t>KOŞULLU — GÜÇ MİMARİSİNE BAĞLI</t>
  </si>
  <si>
    <t>PWR-04 / SYS-011/012</t>
  </si>
  <si>
    <t>T-PWR-05</t>
  </si>
  <si>
    <t>1. dönem bench + 2. dönem tekrar</t>
  </si>
  <si>
    <t>W6 baseline; W10 optional A/B; S2 repeat</t>
  </si>
  <si>
    <t>Mikrofon/AFE rail gürültüsü ve SNR etkisi</t>
  </si>
  <si>
    <t>Osiloskop/spektrum + sabit phantom; USB 5 V ve düşük-gürültülü LDO A/B</t>
  </si>
  <si>
    <t>By W6 at the latest, measure baseline rail ripple/noise and SNR under fixed phantom/gain conditions. USB 5 V supplies only the DevKit board input. Never feed 5 V to MEMS/AFE rails. After EB-R pad map and board-level power topology are confirmed, and only if 3.3 V is confirmed acceptable for the actual MEMS supply pad, compare the local DevKit 3V3 → series-R + C/decoupling MEMS branch against other justified rail options. RC is filtering/decoupling, not a voltage regulator; measure at the sensor and keep within 1.5–3.6 V (otherwise do not connect 3V3). Set AFE rail separately to the selected op-amp's verified limits. Report W6 baseline; test optional low-noise LDO only by W10 if measurement justifies and a suitable module is sourced.</t>
  </si>
  <si>
    <t>Baseline rail noise/SNR reported by W6; optional LDO benefit only from measured A/B by W10, if justified. Do not assume LDO improves the result.</t>
  </si>
  <si>
    <t>PLANLI — BASELINE ÖNCE; LDO OPSİYONEL</t>
  </si>
  <si>
    <t>PWR-05 / SYS-025</t>
  </si>
  <si>
    <t>T-PWR-06</t>
  </si>
  <si>
    <t>Çalışma süresi / continuous-acquisition runtime</t>
  </si>
  <si>
    <t>Seçilen batarya + gerçek edinim/kayıt yükü</t>
  </si>
  <si>
    <t>Yalnız batarya mimarisi seçilirse continuous acquisition ve kayıt altında çalışma süresi otomatik kaydedilir.</t>
  </si>
  <si>
    <t>Gerçek runtime raporlanır; önceden sabitlenmiş 3 h hedefi yoktur (PWR-06).</t>
  </si>
  <si>
    <t>KOŞULLU — BATARYA MİMARİSİNE BAĞLI</t>
  </si>
  <si>
    <t>PWR-06 / SYS-013</t>
  </si>
  <si>
    <t>ICD-01</t>
  </si>
  <si>
    <t>1. dönem / 3.–4. hafta</t>
  </si>
  <si>
    <t>W4 design freeze</t>
  </si>
  <si>
    <t>Elektriksel arayüz / pinout / gerçek parça varyantı incelemesi</t>
  </si>
  <si>
    <t>DevKitC-1 fiziksel kartı + Espressif pin tablosu + PUI EB-R datasheet/CAD</t>
  </si>
  <si>
    <t>GPIO4/5/6 I²S adayı, GPIO19/20 Native USB, 2×22 header geometry, PUI EB pad map ve gerçek konektör sürümü doğrulanır.</t>
  </si>
  <si>
    <t>Pin map kaynaklı, board variant'a özgü, karşılıklı gözden geçirilmiş ve açık maddeleri işaretli.</t>
  </si>
  <si>
    <t>AÇIK — DEVKIT/PUI BELGESİ BEKLENİYOR</t>
  </si>
  <si>
    <t>SYS-003/004/005/016</t>
  </si>
  <si>
    <t>PCB-02</t>
  </si>
  <si>
    <t>2. dönem / yalnız özel PCB onaylanırsa</t>
  </si>
  <si>
    <t>Conditional PCB review</t>
  </si>
  <si>
    <t>RF anten keep-out ve GND plane yerleşim incelemesi</t>
  </si>
  <si>
    <t>Espressif layout checklist + gerçek board/package</t>
  </si>
  <si>
    <t>Özel PCB kararı ölçümle gerekçelendirilirse anten keep-out ve GND plane kontrolü yapılır.</t>
  </si>
  <si>
    <t>Üretici kılavuzuna göre inceleme kaydı; özel PCB yoksa N/A olarak gerekçelendirilir.</t>
  </si>
  <si>
    <t>KOŞULLU — ÖZEL PCB YOKSA N/A</t>
  </si>
  <si>
    <t>SYS-018</t>
  </si>
  <si>
    <t>PCB-03</t>
  </si>
  <si>
    <t>2. dönem / yalnız özel USB PCB onaylanırsa</t>
  </si>
  <si>
    <t>USB D+/D− diferansiyel empedans / stack-up incelemesi</t>
  </si>
  <si>
    <t>Fabrication stack-up + Espressif USB guideline</t>
  </si>
  <si>
    <t>Özel PCB native USB hatlarını yönlendirecekse stack-up ve fab rules üzerinden impedance/routing kontrolü yapılır.</t>
  </si>
  <si>
    <t>Katman/empedans ve üretim kuralları gerekçelendirilmiş; DevKit'in onboard USB'si kullanılırsa taşıyıcı kart için N/A.</t>
  </si>
  <si>
    <t>SYS-019</t>
  </si>
  <si>
    <t>DSET-01</t>
  </si>
  <si>
    <t>Proje başlangıcı ve rapor</t>
  </si>
  <si>
    <t>Data governance</t>
  </si>
  <si>
    <t>CirCor DigiScope dataset sabitleme ve provenance</t>
  </si>
  <si>
    <t>Dataset release/readme + repository config</t>
  </si>
  <si>
    <t>Sürüm/indirme kaynağı, dosya listesi, lisans/ kullanım bilgisi ve checksum/provenance kayıt altına alınır.</t>
  </si>
  <si>
    <t>Birincil dataset sabit; proje sırasında kaynak değişikliği kontrollü kararla yapılır.</t>
  </si>
  <si>
    <t>SYS-023</t>
  </si>
  <si>
    <t>ETH-01</t>
  </si>
  <si>
    <t>Sürekli</t>
  </si>
  <si>
    <t>Ethics scope</t>
  </si>
  <si>
    <t>İnsan deneği kaydı yasağına uygunluk</t>
  </si>
  <si>
    <t>Proje kayıt listesi + prosedür</t>
  </si>
  <si>
    <t>Fiziksel ölçüm prosedürü ve kayıt klasörleri gözden geçirilir; fiziksel kayıtlar yalnız fantomdan alınır.</t>
  </si>
  <si>
    <t>İnsan üzerinden fiziksel kayıt yok; uygunluk dokümanda kayıtlı.</t>
  </si>
  <si>
    <t>Tüm ekip</t>
  </si>
  <si>
    <t>SABİT KAPSAM KOŞULU</t>
  </si>
  <si>
    <t>SYS-024</t>
  </si>
  <si>
    <t>MOD-VER-01</t>
  </si>
  <si>
    <t>Modül A/B/C bağımsız doğrulama tamamlanma kontrolü</t>
  </si>
  <si>
    <t>T-MOD-A, T-MOD-B, T-MOD-C raporları</t>
  </si>
  <si>
    <t>Her modül kendi arayüzü ve test kanıtını teslim eder; eksik varsa G5 kapatılmaz.</t>
  </si>
  <si>
    <t>Üç modül için bağımsız test kanıtı ve izlenebilir arayüz dokümanı mevcut.</t>
  </si>
  <si>
    <t>Ekip koordinatörü + modül sahipleri</t>
  </si>
  <si>
    <t>DERS KAPILARI — W5: sentetik/bilinen sinyal E2E • W9: bağımsız bilinen PCG'nin fantom üzerinden sayısal doğrulaması • 2. dönem W7: A/B/C modülleri ayrı doğrulanmış olmalı</t>
  </si>
  <si>
    <t>ALTERNATİFLER VE DEĞİŞİKLİK POLİTİKASI | REV02</t>
  </si>
  <si>
    <t>Danışman kapsamı ve gate koşulları sabittir. Açık teknik kararlar 3. hafta inceleme ve 4. hafta sipariş kapısında kanıtla kapatılmalı; kaynağı teyit edilmemiş arayüz/fiyat kesin kabul edilmemelidir.</t>
  </si>
  <si>
    <t>Satın alma ürünü DMM-4026-B-I2S-EB-R değerlendirme kartıdır; çıplak sensör MPN'si ayrı tutulur. PUI EB datasheet fiziksel pad numarası eşlemesini net biçimde vermediğinden, PUI teyidi/CAD modeli gelene kadar header/pad pinout açık kalır; eski 6-pin çizelge kullanılmaz.</t>
  </si>
  <si>
    <t>AÇIK — PUI PAD HARİTASI BEKLENİYOR</t>
  </si>
  <si>
    <t>ESP32-S3'te 2×12-bit SAR ADC vardır; ADC1 continuous/DMA bench yolu denenebilir ama PCG için audio-grade yeterlilik ölçülmeden kabul edilmez. Bölüm C-05 USB audio interface mevcut değil; kişisel jak→USB adaptörünün analog input yeteneği doğrulanmadı. ECM ADC mimarisi ADC1 denemesi ile danışman onaylı PCM1808 I²S ADC arasında açık karardır.</t>
  </si>
  <si>
    <t>Espressif ADC: https://docs.espressif.com/projects/esp-idf/en/latest/esp32s3/api-reference/peripherals/adc/index.html | Continuous/DMA: https://docs.espressif.com/projects/esp-idf/en/latest/esp32s3/api-reference/peripherals/adc/adc_continuous.html</t>
  </si>
  <si>
    <t>ECM sayısallaştırma</t>
  </si>
  <si>
    <t>ECM analog çıkışının testte dijitalleştirilmesi</t>
  </si>
  <si>
    <t>C-05 bölüm USB audio interface mevcut değil (Ozan lab audit, 12.10.2026). Ozan'ın kişisel 3,5 mm→USB adaptörü yalnız model/analog input/capture ve 20–500 Hz yanıt doğrulanırsa keşif amaçlı kayıt aracı olabilir; ucuz codec'lerde AC-coupling/high-pass, mic bias veya AGC/gain-shaping etkisi test edilmelidir. Kalibre referans veya ECM→ADC→ESP32→USB yolunun otomatik ikamesi değildir. Alternatifler: (1) ESP32-S3 ADC1 continuous/DMA bench değerlendirmesi — audio-grade varsayılmaz; (2) danışman onaylı PCM1808 tabanlı hazır I²S ADC breakout. PCM1808 için exact SKU/şema, MCLK, 5 V analog/3,3 V digital, FMT/MD ayarı ve input coupling/full-scale doğrulanmadan yalnız bu modül sipariş edilmez; diğer W4 kalemleri bağımsızdır.</t>
  </si>
  <si>
    <t>AÇIK — DANIŞMAN + MODÜL ŞEMASI</t>
  </si>
  <si>
    <t>Danışman ADC sorusu 13.10.2026 bugün; W4 sipariş gate öncesi. Yalnız PCM1808 modülü kararı bekler.</t>
  </si>
  <si>
    <t>C-05 mevcut değil; kişisel dongle uygunluğu açık; danışman onayı + ADC/clock/besleme tasarımı</t>
  </si>
  <si>
    <t>Modül A + Modül B</t>
  </si>
  <si>
    <t>C-05; Espressif ADC docs; TI PCM1808: https://www.ti.com/lit/ds/symlink/pcm1808.pdf</t>
  </si>
  <si>
    <t>Düşük gürültülü test beslemesi</t>
  </si>
  <si>
    <t>AMS1117 kullanılmayacak</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</si>
  <si>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LDO zorunlu Grup A değildir; W6 baseline, gerekirse W10 A/B.</t>
  </si>
  <si>
    <t>OPSİYONEL — ÖLÇÜM GEREKÇESİ</t>
  </si>
  <si>
    <t>Baseline rail-noise/SNR by W6; optional LDO A/B by W10 if justified</t>
  </si>
  <si>
    <t>Besleme gürültüsü/SNR A-B testi, giriş aralığı, çıkış akımı, ortak GND</t>
  </si>
  <si>
    <t>LP5907 datasheet/product: https://www.ti.com/product/LP5907; Turkey IC listing not a breakout and stock status to reconfirm: https://www.ozdisan.com/p/lineer-voltaj-regulatorleri-279/texas-lp5907mfx-3-3-nopb-588254</t>
  </si>
  <si>
    <t>USB kabloları</t>
  </si>
  <si>
    <t>İki ayrı veri kablosu</t>
  </si>
  <si>
    <t>İki adet veri destekli USB kablosu: Espressif v1.1 kılavuzu Standard-A→Micro-B kablo listeler. Bir kablo native USB, diğeri USB-UART/log için. Ancak siparişten önce gelen DevKit'in iki fiziksel port ucu ve PCB revizyonu doğrulanır; charge-only kablo alınmaz.</t>
  </si>
  <si>
    <t>AÇIK — FİZİKSEL KONTROL</t>
  </si>
  <si>
    <t>Kart elimize ulaştığında / W3</t>
  </si>
  <si>
    <t>Gerçek konnektör tipi ve her iki portun işlevi</t>
  </si>
  <si>
    <t>Modül B</t>
  </si>
  <si>
    <t>https://documentation.espressif.com/esp-dev-kits/en/latest/esp32s3/esp32-s3-devkitc-1/user_guide_v1.1.html</t>
  </si>
  <si>
    <t>Referans ölçüm yöntemi</t>
  </si>
  <si>
    <t>Referans sensör seçimi</t>
  </si>
  <si>
    <t>Önce bölüm laboratuvarı envanteri sorulur. Uygun referans sensör yoksa Kaan, gürültü tabanı ve fantom seviyesine göre sensör veya bağıl ölçüm yöntemini seçer.</t>
  </si>
  <si>
    <t>AÇIK — SAHİBİ KAAN</t>
  </si>
  <si>
    <t>W3 mekanik/ölçüm incelemesi</t>
  </si>
  <si>
    <t>Gürültü tabanı, frekans aralığı, montaj ve kalibrasyon durumu</t>
  </si>
  <si>
    <t>Modül A / Kaan</t>
  </si>
  <si>
    <t>DSS-SYS-001 Rev02 §6.4; T-AUD-01</t>
  </si>
  <si>
    <t>İkinci eksiter</t>
  </si>
  <si>
    <t>Farklı tip alternatif eksiter</t>
  </si>
  <si>
    <t>Birincil 30 mm/12 Ω eksitere ek olarak farklı aday eklenir; tam SKU ve fiyat sipariş öncesi seçilir. İki kaynak da 20–500 Hz aralığında bench ile karakterize edilir.</t>
  </si>
  <si>
    <t>KOŞULLU A-GRUBU ADAYI</t>
  </si>
  <si>
    <t>W3 seçimi / W4 siparişi</t>
  </si>
  <si>
    <t>S1/S2 oynatımı, seviye, frekans cevabı, mekanik kuplaj</t>
  </si>
  <si>
    <t>SİPARİŞ VE TEDARİK KAYITLARI | REV02</t>
  </si>
  <si>
    <t>Bu sayfa yalnız gerçek sipariş verildiğinde doldurulur. Aday/araştırma fiyatları gerçekleşmiş harcama değildir; ödeme, KDV, kargo/ithalat, sipariş tarihi ve gerçek teslim tarihiyle kanıtlanır.</t>
  </si>
  <si>
    <t>Shielded cable + konnektör</t>
  </si>
  <si>
    <t>REV02 — EK SATIN ALMA / BENCH GEREKSİNİMLERİ</t>
  </si>
  <si>
    <t>Bu sayfa Rev01 Grup A toplamına dahil olmayan veya karar/uygunluk teyidi bekleyen ilave kalemleri izler. Fiyatı TBD olanlar toplam bütçeye eklenmemiştir. Canlı stok/fiyat, sipariş öncesi tekrar teyit edilir.</t>
  </si>
  <si>
    <t>ID</t>
  </si>
  <si>
    <t>Kalem / parça</t>
  </si>
  <si>
    <t>Aday / tanım</t>
  </si>
  <si>
    <t>Tedarikçi / sorumlu</t>
  </si>
  <si>
    <t>Birim fiyat (TRY)</t>
  </si>
  <si>
    <t>Durum / teknik not / bağlantı</t>
  </si>
  <si>
    <t>A-13</t>
  </si>
  <si>
    <t>OPSİYONEL BENCH / ZORUNLU DEĞİL</t>
  </si>
  <si>
    <t>P2 / ölçüm gerekçesi varsa</t>
  </si>
  <si>
    <t>Düşük gürültülü 3,3 V LDO test modülü</t>
  </si>
  <si>
    <t>LP5907-3.3 / TPS7A20 sınıfı düşük-gürültülü modül; exact breakout SKU TBD</t>
  </si>
  <si>
    <t>Türkiye'de hazır breakout teyit edilmedi</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</si>
  <si>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LDO zorunlu Grup A değildir. Rail-noise/SNR baseline W6; yalnız gerekçe ve gerçek, uygun modül varsa opsiyonel A/B W10. https://www.ti.com/product/LP5907</t>
  </si>
  <si>
    <t>A-14</t>
  </si>
  <si>
    <t>OPSİYONEL — KAAN SEÇECEK</t>
  </si>
  <si>
    <t>P1 / karar bekliyor</t>
  </si>
  <si>
    <t>Referans sensör veya referans ölçüm yöntemi</t>
  </si>
  <si>
    <t>Kaan seçecek: önce laboratuvar envanteri; yoksa düşük gürültü tabanına uygun sensör veya belgelenmiş bağıl referans</t>
  </si>
  <si>
    <t>Sorumlu: Kaan / Modül A</t>
  </si>
  <si>
    <t>Şimdilik satın alma yok. Ucuz ivmeölçer/piezo otomatik olarak uygun referans sayılmaz. Gürültü tabanı, 20–500 Hz davranışı, mekanik montaj ve kalibrasyon durumu belgelenmeli.</t>
  </si>
  <si>
    <t>A-15</t>
  </si>
  <si>
    <t>OPSİYONEL — ALTERNATİF EKSİTER</t>
  </si>
  <si>
    <t>P2 / bütçeye bağlı</t>
  </si>
  <si>
    <t>Alternatif ikinci eksiter</t>
  </si>
  <si>
    <t>Birincil A-07'den farklı tipte küçük hoparlör/transdüser; tam SKU sonra seçilecek</t>
  </si>
  <si>
    <t>Tedarikçi/SKU W3'te seçilecek</t>
  </si>
  <si>
    <t>G2/S1-S2 oynatım riskini azaltmak için yedek aday. Bu satırda fiyat veya stok uydurulmamıştır; exact product page/MPN sipariş öncesi eklenecek. Mevcut aday listesini incelemek için: https://www.motorobit.com/hoparlor-ve-buzzer?pg=4</t>
  </si>
  <si>
    <t>A-16</t>
  </si>
  <si>
    <t>USB 2.0 veri kablosu — Native USB</t>
  </si>
  <si>
    <t>Standard-A → Micro-B USB 2.0 DATA kablosu; şarj-only değil. DevKitC-1 kılavuzu A→Micro-B kablo belirtir.</t>
  </si>
  <si>
    <t>Yerel tedarikçi — mevcut kabloyu say; eksikse kart gelmeden al</t>
  </si>
  <si>
    <t>1 adet native USB portu için; yazılım yükleme/Native USB akışı ilk günden çalıştırılacak. Elindeki data kablolarını önceden kontrol et; eksikse kart gelmeden sipariş ver. Kart geldiğinde gerçek revizyonu ve portları doğrula. Charge-only kablo kullanma. Kaynak: https://docs.espressif.com/projects/esp-dev-kits/en/latest/esp32s3/esp32-s3-devkitc-1/user_guide_v1.1.html</t>
  </si>
  <si>
    <t>A-17</t>
  </si>
  <si>
    <t>USB 2.0 veri kablosu — USB-UART / log</t>
  </si>
  <si>
    <t>Standard-A → Micro-B USB 2.0 DATA kablosu; USB-UART/log için ayrı kablo. Şarj-only değil.</t>
  </si>
  <si>
    <t>1 adet USB-UART/log portu için; native USB kablosundan ayrıdır. Resmî başlangıç kılavuzu Standard-A→Micro-B kabloyu listeler. Mevcut data kablosu sayımı yap; eksikse kart teslimini beklemeden satın al. Kart revizyonu/konektörler teslimde fiziksel doğrulanır. Kaynak: https://docs.espressif.com/projects/esp-dev-kits/en/latest/esp32s3/esp32-s3-devkitc-1/user_guide_v1.1.html</t>
  </si>
  <si>
    <t>A-18</t>
  </si>
  <si>
    <t>GRUP A — KOŞULLU</t>
  </si>
  <si>
    <t>2 × 1x22 dişi header, 2.54 mm</t>
  </si>
  <si>
    <t>Taşıyıcı kart/arayüz denemesi onaylanırsa; iki sıra aralığı DevKit fiziksel çiziminden doğrulanmalı</t>
  </si>
  <si>
    <t>Türkiye tedarikçisi sonra seçilecek</t>
  </si>
  <si>
    <t>Şu an sipariş edilmeyecek. Bu 2×1x22 dişi header ancak taşıyıcı/arayüz kartı tasarımı ayrıca gerekçelendirilip onaylanırsa değerlendirilir; özel PCB bu revizyonda zorunlu değildir. Önce DevKit'in fiziksel ölçüleri ve iki sıra aralığı resmî çizimden doğrulanmalıdır.</t>
  </si>
  <si>
    <t>A-19</t>
  </si>
  <si>
    <t>Tek damarlı bağlantı teli + eksik jumper/header seti</t>
  </si>
  <si>
    <t>A-11 setinde eksik olan M-M/F-F/M-F tiplerini ve lehimlenebilir teli tamamla</t>
  </si>
  <si>
    <t>Mevcut A-11 setinin içeriği sipariş öncesi kontrol edilsin; tekrar satın almayı önlemek için yalnız eksikler alınır.</t>
  </si>
  <si>
    <t>A-20</t>
  </si>
  <si>
    <t>PC ses çıkışı → PAM8403 giriş kablosu</t>
  </si>
  <si>
    <t>3.5 mm ses kablosu; iki uç amp modülünün gerçek girişine göre seçilecek</t>
  </si>
  <si>
    <t>Tam ürün ve konektör sonra seçilecek</t>
  </si>
  <si>
    <t>PC replay için gerekli. Modülün gerçek giriş konektörü ve ses kaynağı doğrulandıktan sonra ürün sayfası eklenir.</t>
  </si>
  <si>
    <t>A-21</t>
  </si>
  <si>
    <t>GRUP C / erişim</t>
  </si>
  <si>
    <t>P1 / W3</t>
  </si>
  <si>
    <t>Lehim istasyonu + lehim erişimi</t>
  </si>
  <si>
    <t>Bölüm laboratuvarında fiziksel erişim</t>
  </si>
  <si>
    <t>THKÜ laboratuvarı</t>
  </si>
  <si>
    <t>Satın alınmaz. Ozan 12.10.2026 tarihinde bölümde lehim istasyonu/lehim erişimi bulunduğunu bildirdi. Kullanım/erişim saatleri ilk EB pad kablolamasından önce teyit edilir.</t>
  </si>
  <si>
    <t>A-22</t>
  </si>
  <si>
    <t>GRUP A — MEKANİK</t>
  </si>
  <si>
    <t>P1 / boyut sonrası</t>
  </si>
  <si>
    <t>Akustik kuplaj adaptörü, O-ring ve tüp</t>
  </si>
  <si>
    <t>Geometri/çap/uzunluk Kaan'ın fantom tasarımına göre</t>
  </si>
  <si>
    <t>Tedarikçi ve miktar sonra</t>
  </si>
  <si>
    <t>Sipariş öncesi göğüs başlığı, mikrofon portu ve cavity geometrisi belirlenir. G2 haftasına kadar mekanik işin test edilebilir olması hedeflenir.</t>
  </si>
  <si>
    <t>A-23</t>
  </si>
  <si>
    <t>KOŞULLU — DANIŞMAN ONAYI</t>
  </si>
  <si>
    <t>P1 / danışman kararı bekleniyor</t>
  </si>
  <si>
    <t>ECM için harici audio ADC breakout</t>
  </si>
  <si>
    <t>PCM1808 tabanlı I²S ADC modülü; kesin MPN/SKU ve şema doğrulanacak</t>
  </si>
  <si>
    <t>Üçüncü taraf modül listesi; üretici tasarımı değil</t>
  </si>
  <si>
    <t>Koşullu adaydır; satın alınmış değildir. PCM1808 IC: 24-bit, 8–96 kHz, 99 dB tipik SNR; 5 V analog, 3,3 V dijital ve MCLK/SCKI gerekir. Sipariş öncesi exact modül SKU/şema, MCLK erişimi, I²S BCK/LRCK/DOUT, MD0/MD1/FMT, input coupling/full-scale ve güç/pad bağlantıları doğrulanır. Danışman onayı olmadan alınmaz. IC datasheet'i modül performansını garanti etmez.</t>
  </si>
  <si>
    <t>Bütçe özeti</t>
  </si>
  <si>
    <t>Değer (TRY)</t>
  </si>
  <si>
    <t>Rev02 Grup A ana liste ara toplamı (Satın_Alma!J28; fiyat snapshot'ı)</t>
  </si>
  <si>
    <t>Opsiyonel LDO modülü fiyatı (henüz doğrulanmış modül/SKU yok; bütçeye dahil değil)</t>
  </si>
  <si>
    <t>Bilinen fiyatlı ana kalemler (koşullu/TBD ekler hariç)</t>
  </si>
  <si>
    <t>Not: Ek kalemler teklif veya gerçek sipariş değildir. 13.10.2026 itibarıyla düşük-gürültülü LDO zorunlu Grup A kalemi değildir; rail-noise/SNR baseline W6'ya kadar alınır, yalnız gerekçelendirilirse W10 opsiyonel A/B yapılır. PCM1808 tabanlı üçüncü taraf kartlar için danışman onayı ve exact modül şeması/pad/MCLK/format/besleme kontrolü yoksa yalnız bu kalem bekletilir. C-05 bölümde yoktur; kişisel dongle 20–500 Hz capture uygunluğu açık kalır. PUI EB-R miktarı 3 (2 bench +1 yedek), PAM8403 modül miktarı 2 (1 kullanım +1 yedek); bütçe ve sipariş hazırlık detayları Satın_Alma ve Sipariş_Hazırlık sayfalarında eşlenir.</t>
  </si>
  <si>
    <t>Not: Ek kalemler teklif veya gerçek sipariş değildir. 13.10.2026 itibarıyla düşük-gürültülü LDO zorunlu Grup A kalemi değildir; rail-noise/SNR baseline W6'ya kadar alınır, yalnız gerekçelendirilirse W10 opsiyonel A/B değerlendirilir. PCM1808 tabanlı üçüncü taraf kartlar için şema/pad/MCLK/format/besleme doğrulanmadığından yalnız bu kalem danışman kararına bağlıdır. C-05 bölümde yoktur; kişisel dongle 20–500 Hz capture uygunluğu açık kalır.</t>
  </si>
  <si>
    <t>REV02 — KARAR, AÇIK MADDE VE SİPARİŞ ÖN KOŞULLARI</t>
  </si>
  <si>
    <t>Bu kayıt Rev01 dosyalarının teknik incelemesi sonrasında oluşturulmuştur. Açık maddeler varsayımla kapatılmaz; sahibi, kanıtı ve karar tarihi kaydedilmeden tasarım/sipariş dondurulmuş sayılmaz.</t>
  </si>
  <si>
    <t>Konu</t>
  </si>
  <si>
    <t>Rev02 kararı / aksiyon</t>
  </si>
  <si>
    <t>Zaman / gate</t>
  </si>
  <si>
    <t>Siparişe etkisi</t>
  </si>
  <si>
    <t>Kaynak / not</t>
  </si>
  <si>
    <t>R02-001</t>
  </si>
  <si>
    <t>ECM sayısallaştırma yolu</t>
  </si>
  <si>
    <t>ESP32-S3'te iki 12-bit SAR ADC vardır; ADC1 continuous/DMA yalnız bench adayıdır ve PCG için audio-grade kabul edilmez. Ozan'ın 12.10.2026 lab audit bildirimine göre bölüm C-05 USB audio interface mevcut değildir. Ozan'ın kişisel 3,5 mm→USB adaptörü model/analog input/capture, 20–500 Hz yanıt, AC-kuplaj/high-pass, mic bias, gain/AGC, örnekleme ve kanal özellikleri ölçülüp doğrulanana kadar kalibre referans veya C-05 eşdeğeri sayılmaz. Danışmana bugün (13.10.2026) sorulacak seçenekler: (1) ADC1 bench değerlendirmesi, (2) şeması doğrulanmış PCM1808 tabanlı I²S ADC breakout, (3) danışmanın alternatif yolu. Danışman onayı ve exact breakout şema/pad/clock/power/format/input kontrolü gelene kadar yalnız PCM1808 modülü satın alma dışıdır; bu kapı ESP32-S3 DevKit, ECM, PUI EB-R, op-amp ve kendi koşulları doğrulanan bağımsız W4 kalemlerini durdurmaz.</t>
  </si>
  <si>
    <t>KRİTİK AÇIK</t>
  </si>
  <si>
    <t>Ekip + danışman; Modül A/B</t>
  </si>
  <si>
    <t>Danışman ADC sorusu hemen gönderilecek (13.10.2026); yanıt W4 sipariş kapısı öncesi bekleniyor</t>
  </si>
  <si>
    <t>Yalnız PCM1808 modülü danışman onayı ve gerçek breakout şema/pad/clock/power/format/input doğrulamasına kadar bekler. Bu ön koşul yalnız PCM1808 kalemi için geçerlidir; DevKit, ECM, EB-R, op-amp ve kendi kontrolleri tamamlanmış diğer bağımsız Grup A kalemleri ADC kararından bağımsız sipariş edilebilir.</t>
  </si>
  <si>
    <t>C-05 advisor component list; Espressif ADC continuous docs: https://docs.espressif.com/projects/esp-idf/en/latest/esp32s3/api-reference/peripherals/adc/adc_continuous.html | ESP32-S3 ADC overview: https://docs.espressif.com/projects/esp-idf/en/latest/esp32s3/api-reference/peripherals/adc/index.html | PCM1808: https://www.ti.com/lit/ds/symlink/pcm1808.pdf</t>
  </si>
  <si>
    <t>R02-002</t>
  </si>
  <si>
    <t>PUI EB-R fiziksel pad map</t>
  </si>
  <si>
    <t>PUI EB-R datasheet I²S özellikleri ve lehim padlerini verir ancak fiziksel pad-numarası-to-sinyal eşlemesi yoktur. PUI'dan CAD/connection drawing/yazılı teyit istenir; gerçek kart işaretleri ve besleme düzeni eşleştirilmeden bağlantı yapılmaz. Farnell 12.10.2026 stok snapshot'ı 14 adet ve 22 hafta standart üretici lead time gösteriyordu; bölgesel stok/Türkiye sepeti ve teslim tarihi yeniden teyit edilmelidir. 3 EB-R kartı (2 bench kullanım +1 yedek) uzun teslimat riski nedeniyle ilk W4 sipariş partisine konur. Bu kalem PCM1808 ADC kararından bağımsızdır.</t>
  </si>
  <si>
    <t>İlk W4 sipariş partisi — 13.10.2026 stok/lead-time snapshot; gerçek kart üzerinde kablolama öncesi</t>
  </si>
  <si>
    <t>EB-R ilk partide önceliklendirilir; ancak pad/rail doğrulanana kadar kablolama yok. Bu kalem PCM1808 ADC kararından bağımsızdır.</t>
  </si>
  <si>
    <t>PUI Audio EB-R datasheet; supplier inquiry required</t>
  </si>
  <si>
    <t>R02-003</t>
  </si>
  <si>
    <t>Düşük gürültülü LDO test modülü</t>
  </si>
  <si>
    <t>Besleme kuralı: USB 5 V yalnız DevKit/MCU kart girişini besler; MEMS VCC/AFE rayına 5 V bağlanmaz. PUI ürün verisi VCC standardını 1,8 V, azami değeri 3,6 V olarak listeler; EB-R gerçek pad map'i ve kartın onboard ray/topolojisi üretici CAD/yazılı teyidiyle doğrulanmadan besleme bağlanmaz. Üretici teyidiyle 3,3 V beslemeye izin verildiği doğrulanırsa deney adayı DevKit 3V3 çıkışı → yerel seri R + C/dekuplaj → MEMS VCC test koludur; gerçek ray sensör yanında ölçülür ve 1,5–3,6 V arasında tutulur. RC ağı filtre/dekuplaj içindir; 3,3 V'u 1,8 V'a regüle etmez. 3,3 V kabulü teyit edilmezse 3V3 kolunu bağlama; uygun 1,8 V regülatör yolu ayrıca seçilip doğrulanmalıdır. AFE rayı op-amp gereksinimlerine göre ayrı doğrulanır; raylar paralellenmez. AMS1117 low-noise reference değildir. Low-noise LDO zorunlu Grup A alımı değildir. Baseline en geç W6; gerekçe + uygun doğrulanmış modül varsa W10 opsiyonel LDO A/B. 3,3 V kabul edilmezse uygun 1,8 V regüle besleme yolu ayrı seçilip doğrulanır; RC ağı regülatör değildir. Besleme bağlanmadan önce BCLK/SCK, LRCK/WS ve kontrol girişleri (MCU→EB-R) ile DOUT (EB-R→MCU) lojik seviyeleri ayrı ayrı karşılaştırılır; ESP32-S3 VIH/VIL ve EB-R VOH/VOL/Vmax şartları doğrulanmadan doğrudan bağlantı yapılmaz. 1,8 V DOUT seviyesinin 3,3 V MCU girişinde HIGH sayılacağı varsayılmaz; gerekiyorsa uygun seviye çevirme uygulanır.</t>
  </si>
  <si>
    <t>OPSİYONEL — ÖLÇÜMLE GEREKÇELENDİR</t>
  </si>
  <si>
    <t>Kaan (A) + Ozan (B)</t>
  </si>
  <si>
    <t>Baseline no later than W6; W10 optional A/B only if measurement justifies and a verified module can be sourced</t>
  </si>
  <si>
    <t>W6 baseline ölçümü geciktirilmez; 3V3→RC/dekuplaj MEMS kolu yalnız EB-R gerçek pad/rail ve 3,3 V kabulü doğrulanınca; bu ifade PCM1808 sipariş kapısına bağlı değildir. LDO, Grup A sipariş ön koşulu değildir.</t>
  </si>
  <si>
    <t>TI LP5907: https://www.ti.com/product/LP5907 | Özdisan listing is bare LP5907MFX-3.3/NOPB, not a breakout: https://www.ozdisan.com/p/lineer-voltaj-regulatorleri-279/texas-lp5907mfx-3-3-nopb-588254</t>
  </si>
  <si>
    <t>R02-004</t>
  </si>
  <si>
    <t>USB cable and DevKit revision</t>
  </si>
  <si>
    <t>İki adet ayrı data destekli USB kablosu gerekir: biri native USB, biri USB-UART/log. Espressif ESP32-S3-DevKitC-1 v1.1 kılavuzu Standard-A→Micro-B USB 2.0 kablo belirtir ve yalnız şarj kablolarının flash/programlama için uygun olmayabileceğini söyler. Elindeki kabloların veri desteği ve sayısı kart gelmeden kontrol edilir; eksik olanlar kart gelmeden sipariş edilir. Teslimde kart revizyonu ve iki fiziksel port yeniden teyit edilir.</t>
  </si>
  <si>
    <t>OPEN — BOARD REVISION</t>
  </si>
  <si>
    <t>Hemen / DevKit gelmeden; en geç W4</t>
  </si>
  <si>
    <t>2 adet Standard-A→Micro-B USB 2.0 data kablosu; elde yeterli data kablosu varsa tekrar satın alma. Aksi halde ilk siparişe ekle.</t>
  </si>
  <si>
    <t>Official Espressif DevKitC-1 v1.1 guide: https://docs.espressif.com/projects/esp-dev-kits/en/latest/esp32s3/esp32-s3-devkitc-1/user_guide_v1.1.html</t>
  </si>
  <si>
    <t>R02-005</t>
  </si>
  <si>
    <t>ECM buy quantity / risk reserve</t>
  </si>
  <si>
    <t>Toplam 4 × Kingstate KECG2740PBJ: 2 adet temel proje ihtiyacı + 2 adet yedek/elleçleme payı. 58,45 TL/adet, 30.09.2026 fiyat anlık görüntüsüdür; sipariş günü canlı fiyat/stok kontrolü yapılır. Same Sky CMC-6036-40T küçük miktarlı sipariş için MOQ 500 nedeniyle pratik yedek değildir.</t>
  </si>
  <si>
    <t>PLANNED — LIVE QUOTE REQUIRED</t>
  </si>
  <si>
    <t>Ekip / procurement</t>
  </si>
  <si>
    <t>W4 order gate</t>
  </si>
  <si>
    <t>Satın_Alma quantity changed 2 → 4</t>
  </si>
  <si>
    <t>Farnell page: https://tr.farnell.com/kingstate/kecg2740pbj/microphone-miniature-electret/dp/1299885</t>
  </si>
  <si>
    <t>R02-006</t>
  </si>
  <si>
    <t>Reference measurement sensor/method</t>
  </si>
  <si>
    <t>Kaan first checks lab inventory. If no appropriate reference instrument exists, select by noise floor, 20–500 Hz behavior, mounting and calibration state; otherwise report relative transfer function with limitations, not absolute SPL calibration.</t>
  </si>
  <si>
    <t>OPEN — OWNER KAAN</t>
  </si>
  <si>
    <t>W3 mechanism/measurement review</t>
  </si>
  <si>
    <t>No purchase until selected; don't automatically choose a cheap accelerometer/piezo</t>
  </si>
  <si>
    <t>R02-007</t>
  </si>
  <si>
    <t>Second exciter</t>
  </si>
  <si>
    <t>Add one different-type alternative candidate to reduce G2 risk, but select exact MPN/product and source page before purchase. Do not assume an unspecified 8 Ω speaker is fit until bench test.</t>
  </si>
  <si>
    <t>OPTIONAL / W3 selection</t>
  </si>
  <si>
    <t>W3 selection / W4 order gate</t>
  </si>
  <si>
    <t>Separate item A-15; price remains TBD</t>
  </si>
  <si>
    <t>R02-008</t>
  </si>
  <si>
    <t>Solder station access</t>
  </si>
  <si>
    <t>Ozan 12.10.2026 tarihinde bölümde lehim istasyonu ve lehime erişim bulunduğunu bildirdi. Bu bilgi yalnız erişim/mevcudiyet durumunu kapatır; kalibrasyon/işlev veya erişim saatleri garantisi değildir. EB pad bağlantısı öncesi uygun kullanım zamanı teyit edilir.</t>
  </si>
  <si>
    <t>CLOSED — MEVCUDİYET BİLDİRİLDİ</t>
  </si>
  <si>
    <t>Ekip</t>
  </si>
  <si>
    <t>12.10.2026; EB kablolaması öncesi erişim saati</t>
  </si>
  <si>
    <t>Lab erişimi bildirildiği için satın alma planlanmaz; kullanım/erişim teyidi gerekir.</t>
  </si>
  <si>
    <t>Ozan'ın 12.10.2026 lab audit bildirimi</t>
  </si>
  <si>
    <t>R02-009</t>
  </si>
  <si>
    <t>Jumpers, wire, female headers, audio cable</t>
  </si>
  <si>
    <t>Bölümde tekrar kullanılabilir breadboard bulunduğu Ozan tarafından bildirildi. Bu nedenle A-11 satırında breadboard satın alımı çıkarılır; jumpers, header pins ve solid-core hookup wire tüketim kalemi olarak tutulur. Önce mevcut set ve laboratuvar stoğu incelenir; yalnız eksikler satın alınır. 3,5 mm PC-to-amplifier kablosu, PAM8403 giriş tipi doğrulandıktan sonra seçilir.</t>
  </si>
  <si>
    <t>PLANNED — EXACT NEED CHECK</t>
  </si>
  <si>
    <t>W3/W4</t>
  </si>
  <si>
    <t>Breadboard labdan kullanılacak; jumper/wire/header tüketimleri eksik listesine göre alınır; adaptör kablosu ancak amfi girişi doğrulanınca.</t>
  </si>
  <si>
    <t>Rev02_Ek_Kalemler A-16…A-20</t>
  </si>
  <si>
    <t>R02-010</t>
  </si>
  <si>
    <t>G1 vs G2 definition</t>
  </si>
  <si>
    <t>G1 at W5 is known/synthetic signal captured end-to-end; physical phantom replay and S1/S2 feasibility belongs to G2 at W9.</t>
  </si>
  <si>
    <t>CORRECTED IN REV02</t>
  </si>
  <si>
    <t>All modules</t>
  </si>
  <si>
    <t>Immediate</t>
  </si>
  <si>
    <t>Prevents premature phantom requirement in W5</t>
  </si>
  <si>
    <t>DSS-SYS-001 Rev02 §14; Test_Matrisi</t>
  </si>
  <si>
    <t>R02-011</t>
  </si>
  <si>
    <t>G2 numeric comparison metric</t>
  </si>
  <si>
    <t>Use synchronization marker/equivalent and cross-correlation alignment; document gain normalization; compute normalized correlation and normalized RMS error. Set numerical threshold before formal run from bench repeatability/uncertainty.</t>
  </si>
  <si>
    <t>DEFINED — THRESHOLD AFTER BENCH</t>
  </si>
  <si>
    <t>Kaan (A) + Ege (C) + Ozan (B)</t>
  </si>
  <si>
    <t>Before W9 formal run</t>
  </si>
  <si>
    <t>T-AUD-05 acceptance procedure strengthened</t>
  </si>
  <si>
    <t>Test_Matrisi Rev02 / T-AUD-05</t>
  </si>
  <si>
    <t>R02-012</t>
  </si>
  <si>
    <t>Power test ID alignment</t>
  </si>
  <si>
    <t>Canonical test register now expands T-PWR-01…06 to map PWR-01…06: USB-only, battery operation, charge/protection, brownout, mic/AFE rail noise, runtime.</t>
  </si>
  <si>
    <t>Rev02 verification</t>
  </si>
  <si>
    <t>Appendix C and test matrix to use same IDs</t>
  </si>
  <si>
    <t>DSS-SYS-001 Rev02 §7.3 and Ek C</t>
  </si>
  <si>
    <t>R02-013</t>
  </si>
  <si>
    <t>Pre-test and traceability IDs</t>
  </si>
  <si>
    <t>Include T-PRE-01 in system specification and add ICD-01, conditional PCB-02/03, DSET-01, ETH-01 and MOD-VER-01 to canonical test/verification register.</t>
  </si>
  <si>
    <t>Relevant module owners</t>
  </si>
  <si>
    <t>Consistent traceability register</t>
  </si>
  <si>
    <t>Test_Matrisi Rev02 + DOCX Ek C</t>
  </si>
  <si>
    <t>R02-014</t>
  </si>
  <si>
    <t>Passive kit spend</t>
  </si>
  <si>
    <t>Do not automatically buy the 1,004.12 TL capacitor set without comparing a smaller useful assortment or individual measured values. Preserve the advisor requirement for a passive set, but choose an economically sensible contents list.</t>
  </si>
  <si>
    <t>PENDING QUOTE / NEED REVIEW</t>
  </si>
  <si>
    <t>Before W4 order</t>
  </si>
  <si>
    <t>Potential budget reduction</t>
  </si>
  <si>
    <t>Satın_Alma A-05</t>
  </si>
  <si>
    <t>R02-015</t>
  </si>
  <si>
    <t>Silikon and phantom mechanical parts</t>
  </si>
  <si>
    <t>Finalize chestpiece/cavity/coupling geometry before buying full 1 m × 0.25 m silicone sheet. Prefer a sample/cut length if it supports tests. Select O-ring/tube/adaptor dimensions before order.</t>
  </si>
  <si>
    <t>OPEN — MECHANICAL GEOMETRY</t>
  </si>
  <si>
    <t>W3 geometry; W4 order</t>
  </si>
  <si>
    <t>Avoids buying oversized/incorrect material</t>
  </si>
  <si>
    <t>Satın_Alma A-09/A-10; Rev02_Ek_Kalemler A-22</t>
  </si>
  <si>
    <t>R02-016</t>
  </si>
  <si>
    <t>Main BOM scope</t>
  </si>
  <si>
    <t>ANA_BOM, elektronik/edinim arabirimi için ön BOM'dur. Tüm mekanik/fantom sarfları Satın_Alma ve Rev02_Ek_Kalemler'de tutulur; fantom mekanik kalemleri üretim/Altium BOM'una karıştırılmaz.</t>
  </si>
  <si>
    <t>CLARIFIED IN REV02</t>
  </si>
  <si>
    <t>Prevents procurement and design BOM from being confused</t>
  </si>
  <si>
    <t>NOTLAR; ANA_BOM; Satın_Alma</t>
  </si>
  <si>
    <t>R02-017</t>
  </si>
  <si>
    <t>PCM1808 breakout doğrulaması</t>
  </si>
  <si>
    <t>Üçüncü taraf PCM1808 modül ilanları bulundu fakat board-level schematic/pad map doğrulanmış değil. Exact SKU seçilirse MCLK/SCKI, BCK, LRCK, DOUT, MD0/MD1/FMT, 5 V analog, 3,3 V digital, input coupling/full-scale ve connector/padout kontrolü yapılır. Bu madde danışman ADC kararı ile birlikte kapatılır. Satın alma kapısı yalnız PCM1808 breakout içindir; MCU, ECM, EB-R, op-amp gibi bağımsız W4 alımlarını bloke etmez.</t>
  </si>
  <si>
    <t>AÇIK — MODÜL ŞEMASI GEREKLİ</t>
  </si>
  <si>
    <t>Ozan (B) + danışman</t>
  </si>
  <si>
    <t>3. hafta interface review / W4 order gate</t>
  </si>
  <si>
    <t>Onay ve şema kontrolü olmadan satın alma yok; PCM1808 yalnız birinci aday.</t>
  </si>
  <si>
    <t>TI datasheet: https://www.ti.com/lit/ds/symlink/pcm1808.pdf | Listing, not validated design: https://www.elecbee.com/tr/product-detail/1808-pcm1808-single-ended-input-99db-snr-stereo-adc-module-analog-input-decoder-24bit-amplifier-board_25169</t>
  </si>
  <si>
    <t>R02-018</t>
  </si>
  <si>
    <t>ESP32-S3 dahili ADC sınırları</t>
  </si>
  <si>
    <t>Dahili SAR ADC mevcuttur; ADC continuous/DMA yolu teknik olarak kullanılabilir, ancak PCG için audio-grade uygunluğu bilinmemektedir. Güncel ESP-IDF ESP32-S3 ADC continuous kılavuzu ADC2 DMA için donanım kısıtı belirtir. İlk analog bench değerlendirmesi ADC1 üzerinden yürütülür; sample-rate, gürültü, lineerlik ve clipping ölçülür.</t>
  </si>
  <si>
    <t>DOĞRULAMA PLANI TANIMLI — TEST BEKLİYOR</t>
  </si>
  <si>
    <t>W3/W4 interface review; SNR formal testi öncesi</t>
  </si>
  <si>
    <t>ADC1 yalnız deneysel yoldur; sonuç yetersizse danışman onaylı harici audio ADC veya danışmanın yönlendirdiği alternatif mimari kararı uygulanır. Bölüm C-05 mevcut değildir.</t>
  </si>
  <si>
    <t>Espressif ADC continuous mode: https://docs.espressif.com/projects/esp-idf/en/latest/esp32s3/api-reference/peripherals/adc/adc_continuous.html</t>
  </si>
  <si>
    <t>R02-019</t>
  </si>
  <si>
    <t>Lab equipment audit</t>
  </si>
  <si>
    <t>Ozan bildirimi (12.10.2026): osiloskop/DSO, fonksiyon üreteci, multimetre, lehim istasyonu ve tekrar kullanılabilir breadboard/dev-board bölümde mevcut. USB audio interface bölümde yok. Bu kapanış yalnız mevcudiyet bildirimidir; cihaz kalibrasyonu/bant genişliği/noise floor doğrulanmış değildir.</t>
  </si>
  <si>
    <t>CLOSED — MEVCUDİYET DURUMU</t>
  </si>
  <si>
    <t>12.10.2026; Week-4 öncesi</t>
  </si>
  <si>
    <t>Dört temel laboratuvar aracı ve breadboard için satın alma yok; USB audio interface satın alma zorunluluğu yok.</t>
  </si>
  <si>
    <t>Ozan lab audit bildirimi; öğretim elemanı component/lab listesi</t>
  </si>
  <si>
    <t>R02-020</t>
  </si>
  <si>
    <t>Kişisel 3,5 mm→USB adaptörü uygunluğu</t>
  </si>
  <si>
    <t>Ozan küçük bir adaptörü olduğunu bildiriyor; model ve sinyal yönü henüz bilinmiyor. Playback-only USB DAC ECM capture yapamaz. Bazı ucuz codec/dongle'larda AC-kuplaj, voice-band high-pass, mic bias veya AGC/gain shaping 20–500 Hz PCG'yi bozabilir; bu genel varsayım değil, test edilecek risklerdir. Analog audio INPUT/capture desteği, input range/coupling, microphone bias, gain/AGC, örnekleme/kanal biçimi ve bilinen sinyalle 20–500 Hz frekans yanıtı kontrol edilirse yalnız keşif amaçlı kullanılabilir. Kalibre referans veya C-05 eşdeğeri kabul edilmez.</t>
  </si>
  <si>
    <t>OPEN — MODEL/FONKSİYON TEYİDİ</t>
  </si>
  <si>
    <t>ECM ADC yolu kararından önce model/analog capture ve 20–500 Hz frekans yanıtı kontrolü; gerekirse W4 bench</t>
  </si>
  <si>
    <t>Satın alma zorunluluğu yok. Dongle uygun çıkmazsa ADC1 bench/PCM1808 advisor decision ayrı kalır.</t>
  </si>
  <si>
    <t>Kişisel adaptörün üstündeki model ve datasheet/işaretleme kontrolü</t>
  </si>
  <si>
    <t>R02-021</t>
  </si>
  <si>
    <t>PAM8403 modülü — ürün yaşam döngüsü ve 12 Ω eksiter uyumu</t>
  </si>
  <si>
    <t>Robotistan ürün kodu 16177 exact product page'e bağlandı; miktar 2 (1 kullanım +1 yedek). Diodes üretici sayfası PAM8403'ü NRND olarak işaretler ve 22.07.2026 uygulama tarihli EOL bildirimi listeler. Bu risk laboratuvar prototipinde otomatik ret değildir ancak modül uzun vadeli tasarım baseline'ı sayılmaz. 12 Ω eksiter ile gerçek sürüş/seviye/20–500 Hz cevap test edilir. BTL çıkış uçları GND'ye veya birbirine bağlanmaz; 5 V amfi beslemesi DevKit 3V3 MEMS rayından ayrı tutulur.</t>
  </si>
  <si>
    <t>AÇIK — BENCH ADAYI / YAŞAM DÖNGÜSÜ RİSKİ</t>
  </si>
  <si>
    <t>W4 sipariş öncesi</t>
  </si>
  <si>
    <t>2 adet ancak düşük maliyetli bench prototipi ve risk kabulü için; exact product 16177. Fiyat/stock checkout'ta teyit.</t>
  </si>
  <si>
    <t>Robotistan exact product 16177: https://www.robotistan.com/3w-2ch-mini-sound-amp-board-pam8403 | Diodes NRND/EOL: https://www.diodes.com/part/view/PAM8403</t>
  </si>
  <si>
    <t>REVİZYON GEÇMİŞİ — SATIN ALMA VE TEST ÇALIŞMA KİTABI</t>
  </si>
  <si>
    <t>Revizyon</t>
  </si>
  <si>
    <t>Tarih</t>
  </si>
  <si>
    <t>Önemli değişiklik</t>
  </si>
  <si>
    <t>00</t>
  </si>
  <si>
    <t>28.09.2026</t>
  </si>
  <si>
    <t>İlk taslak</t>
  </si>
  <si>
    <t>Öğretim elemanı gereksinimleri ve ilk satın alma/test listesi birleştirildi.</t>
  </si>
  <si>
    <t>Sipariş öncesi aday doğrulama gerekli.</t>
  </si>
  <si>
    <t>01</t>
  </si>
  <si>
    <t>30.09.2026</t>
  </si>
  <si>
    <t>İnceleme taslağı</t>
  </si>
  <si>
    <t>Türkiye tedarik araştırması, elektronik ön BOM, test matrisi ve alternatifler eklendi.</t>
  </si>
  <si>
    <t>Fiyat/stok, MPN ve test ID'leri canlı sipariş öncesi teyit edilmeli.</t>
  </si>
  <si>
    <t>02</t>
  </si>
  <si>
    <t>13.10.2026</t>
  </si>
  <si>
    <t>Teknik kaynak incelemesi sonrası güncellenmiş açık-karar revizyonu</t>
  </si>
  <si>
    <t>REV02 closeout QA (13.10.2026): ADC1 bench / ADC2 DMA kısıtı; PCM1808 sipariş bekleme koşulu yalnız A-23 modülüne indirildi; EB-R miktarı 3 (2 bench +1 reserve), Farnell 14 stok/22 hafta geçmiş snapshot'ı 12.10.2026 ve ilk sipariş önceliği; A-08 PAM8403 miktarı 2, product code 16177, NRND/EOL riski; DevKit USB 5 V input ve koşullu DevKit 3V3 → yerel seri-R + C/dekuplaj MEMS kolu (RC regülatör değildir; PUI 1,8 V standard/3,6 V max ve gerçek pad/rail teyidi); T-AUD-06 ADC-only noise floor; sipariş hazırlık denetimi ve kalan geometri/link blokajları.</t>
  </si>
  <si>
    <t>Bu dosya sipariş hazırlık kararını satır bazında ayırır. A-03 EB-R uzun teslimat nedeniyle ilk partiye önceliklidir ancak kablolama pad/rail teyidine bağlıdır. A-08 PAM8403 yalnız kısa vadeli bench prototip adayıdır, kalıcı tasarım değil. PCM1808 dışında kalan Grup A kalemleri kendi MPN/link/geometri/stock kontrolü tamamlandığında bağımsız ilerleyebilir. Bekleyen geometri/ürün seçim kalemleri otomatik siparişe hazır değildir.</t>
  </si>
  <si>
    <t>REV02 — SİPARİŞ HAZIRLIK DENETİMİ</t>
  </si>
  <si>
    <t>SİPARİŞ DURUMU: Bu listenin tamamı henüz siparişe hazır değildir; kalem bazında ilerleyin. İlk siparişe öncelik: A-03 (3 adet PUI EB-R; 12.10.2026 snapshot'ında 14 stok / 22 hafta standart üretici lead time; Türkiye sepeti tekrar teyit edilsin). A-02 ECM, A-04 op-amp ve A-06 DevKit kendi teknik/tedarik kontrolleriyle bağımsız adaylardır. A-08 PAM8403 yalnız bench prototip adayıdır; fiyat/stok çelişkili, canlı sepet teyidi gerekir; NRND/EOL riski vardır. PCM1808 kararı yalnız A-23 kalemini bekletir. İki Standard-A→Micro-B USB 2.0 DATA kablosunun elde olup olmadığını DevKit gelmeden kontrol et; eksikse ilk siparişe ekle. EB-R için gerçek pad map/onboard rail ve üretici besleme teyidi gelmeden kablolama yok. USB 5 V yalnız DevKit girişine bağlanır. EB-R standart VCC 1,8 V, azami 3,6 V; 3V3→seri R+C/dekuplaj kolu yalnız üretici gerçek kartta 3,3 V'u açıkça teyit ederse uygulanır. Değilse 1,8 V regüle yol tasarlanır. BCLK/LRCK/kontrol girişleri ve DOUT lojik eşikleri ayrı kontrol edilir; 1,8 V DOUT'un 3,3 V MCU HIGH eşiğini karşıladığı varsayılmaz, gerekirse seviye çevirme kullanılır. RC ağı regülatör değildir.</t>
  </si>
  <si>
    <t>Sipariş durumu</t>
  </si>
  <si>
    <t>Siparişten önce / kullanım için kapanması gereken madde</t>
  </si>
  <si>
    <t>Kontrol sonucu ve teknik not</t>
  </si>
  <si>
    <t>Ürün / kaynak bağlantısı</t>
  </si>
  <si>
    <t>BEKLE — exact ürün bağlantısı</t>
  </si>
  <si>
    <t>Kategori bağlantısı yerine seçilmiş ürün sayfası/modeli ve gerçek göğüs başlığı/tüp ölçüsü belirlenmeli.</t>
  </si>
  <si>
    <t>Fantom mekanik geometrisiyle uyumluluk gösterilmeden satın alma adayı kesinleşmiş sayılmaz.</t>
  </si>
  <si>
    <t>SİPARİŞ ADAYI — canlı tedarik teyidi</t>
  </si>
  <si>
    <t>4 adet (2 temel kullanım +2 yedek); stok/fiyat ve teslimat Farnell sepetinde yenilenmeli.</t>
  </si>
  <si>
    <t>Farnell specifies 20 Hz–20 kHz frequency range, but no tolerance-defined lower -3 dB point. Actual 20–500 Hz response, noise, gain and repeatability must be measured; this is a candidate, not proof of PCG suitability.</t>
  </si>
  <si>
    <t>İLK PARTİYE AL — uzun teslim süresi</t>
  </si>
  <si>
    <t>3 adet (2 bench kullanım +1 yedek). Farnell EB-R için 12.10.2026 tarihli 14 stok / 22 hafta standart üretici lead-time snapshot’ı var; ilk sipariş partisine al, bölgesel/Türkiye sepeti ve teslim tarihini kontrol et.</t>
  </si>
  <si>
    <t>DMM-4026-B-I2S-R sensör MPN'si ile satın alınan EB-R değerlendirme kartı farklı satırlardır. PUI/Farnell bilgisi VCC standard 1,8 V ve VCC max 3,6 V listeler; 3,3 V besleme gerçek kart/pad üzerinde üreticiyle doğrulanmadan bağlanmaz. PUI gerçek pad map ve onboard rail topolojisi doğrulanmadan kablolama yok. 12.10.2026 stok snapshot'ı 14, üretici standard lead time 22 hafta; ilk sipariş partisine al, Türkiye sepetini canlı teyit et. RC yalnız filtre/dekuplajdır, regülatör değildir; gerçek sensör rayını ölç ve 1,5–3,6 V aralığında tut. 5 V doğrudan bağlanmaz. Besleme/arayüz fallback: 3,3 V besleme yalnız PUI gerçek EB-R üzerinde yazılı olarak doğrulanırsa. Aksi halde uygun 1,8 V regüle ray ve MCU↔EB-R I²S lojik seviye kontrolü/ gerekirse seviye çevirme; DOUT 1,8 V HIGH seviyesi ESP32-S3 VIH ile ayrıca doğrulanır.</t>
  </si>
  <si>
    <t>SİPARİŞ ADAYI — exact MPN</t>
  </si>
  <si>
    <t>MCP6022-I/P DIP-8; stok ve canlı fiyatı teyit et. AFE devre değerlerini Kaan ile kapat.</t>
  </si>
  <si>
    <t>DIP-8 breadboard prototiplemesine uygundur; kazanç/bias/anti-aliasing devresi ayrıca tasarlanmalı ve test edilmelidir.</t>
  </si>
  <si>
    <t>BEKLE — kit içeriği / maliyet</t>
  </si>
  <si>
    <t>Direnç + kondansatör setlerinin kesin ürün SKU ve içerik listesi; daha küçük kit veya tekil gerekli değerlerle maliyet karşılaştırması.</t>
  </si>
  <si>
    <t>Mevcut listedeki toplam pahalı. Kaan'ın ilk AFE ihtiyaçları ve tolerans/gerilim değerleri seçilmeden tüm set otomatik alınmamalı.</t>
  </si>
  <si>
    <t>SİPARİŞ ADAYI — exact board SKU</t>
  </si>
  <si>
    <t>ESP32-S3-DevKitC-1-N8R8 MPN/teslimat teyidi; iki Standard-A→Micro-B USB 2.0 DATA kablosunu elindeki stoktan kontrol et, eksikse kart gelmeden al.</t>
  </si>
  <si>
    <t>PCM1808 kararı DevKit siparişini bekletmez. Espressif başlangıç kılavuzu Standard-A→Micro-B data kablosu listeler; charge-only kablo programlama için uygun olmayabilir. Kaynak: https://docs.espressif.com/projects/esp-dev-kits/en/latest/esp32s3/esp32-s3-devkitc-1/user_guide_v1.1.html</t>
  </si>
  <si>
    <t>BENCH ADAYI — geometri onayı</t>
  </si>
  <si>
    <t>Kaan 30 mm / 12 Ω adayın fantom montajına uyduğunu onaylasın; canlı stok/fiyat teyit edilsin.</t>
  </si>
  <si>
    <t>20–500 Hz düz frekans cevabı varsayılmaz; T-AUD-01/G2 öncesi eksiter+amfi zincirinde ölçülür.</t>
  </si>
  <si>
    <t>KOŞULLU — yalnız bench prototipi</t>
  </si>
  <si>
    <t>Robotistan ürün kodu 16177, 2 adet (1 kullanım +1 yedek); sepet fiyat/stok teyidi ve NRND/EOL riskini kabul et.</t>
  </si>
  <si>
    <t>Üretici PAM8403 IC sayfası NRND/EOL bildirimi gösterir. 12 Ω yükte 4/8 Ω güç değerleri doğrudan uygulanmaz. BTL çıkışları GND'ye ya da birbirine bağlanmaz; 5 V besleme DevKit 3V3 sensör rayından ayrıdır.</t>
  </si>
  <si>
    <t>https://www.robotistan.com/3w-2ch-mini-sound-amp-board-pam8403 | https://www.diodes.com/part/view/PAM8403</t>
  </si>
  <si>
    <t>BEKLE — fantom geometrisi</t>
  </si>
  <si>
    <t>3 mm × 1 m × 0,25 m levha pahalı ve muhtemelen büyük; numune/kesim ve gerçek kalınlık/kuplaj ihtiyacı Kaan tarafından onaylanmalı.</t>
  </si>
  <si>
    <t>Mekanik geometri belirlenmeden tam ölçü sipariş etme.</t>
  </si>
  <si>
    <t>BEKLE — exact SKU/ölçü</t>
  </si>
  <si>
    <t>20×30 cm levha ürün linki kategori/marketplace düzeyinde; gerçek ürün, kalınlık, kesim ve delik/bağlantı planı seçilmeli.</t>
  </si>
  <si>
    <t>Fantom rijit çerçevesinin son boyutları belli olmadan satın alma liste kanıtı yeterli değildir.</t>
  </si>
  <si>
    <t>KOŞULLU — önce mevcut malzemeyi say</t>
  </si>
  <si>
    <t>Bölüm breadboard sağlıyor; eldeki jumper M-M/F-F/M-F, solid-core tel ve header parçalarını sayıp yalnız eksikleri al.</t>
  </si>
  <si>
    <t>140 parçalık set listedeki aday; tam içerik ve tekrar satın alma kontrolü yapılmalı.</t>
  </si>
  <si>
    <t>BEKLE — kablo uçları/AFE topolojisi</t>
  </si>
  <si>
    <t>XLR hazır kablo yerine gerekli uzunlukta ekranlı 2 damarlı kablo ve AFE'ye uygun uçlar seçilmeli.</t>
  </si>
  <si>
    <t>Akustik/ECM zincirinde XLR zorunluluğu yoktur; mevcut Akakçe karşılaştırma bağlantısı nihai seller product page değildir.</t>
  </si>
  <si>
    <t>https://www.akakce.com/mikrofon-aksesuar/en-ucuz-xlr-mikrofon-kablosu-2-metre-fiyati%2C849293642.html</t>
  </si>
  <si>
    <t>İLK GÜN GEREKLİ — eldekini kontrol et; eksikse önceden al</t>
  </si>
  <si>
    <t>Native USB için 1 adet Standard-A→Micro-B USB 2.0 DATA kablosu. Kart gelmesini bekleme; mevcut kablolarını say.</t>
  </si>
  <si>
    <t>Espressif başlangıç kılavuzu bu kablo tipini listeler; charge-only değil, gerçek port/board revizyonu teslimde kontrol edilir.</t>
  </si>
  <si>
    <t>USB-UART/log için 1 ayrı Standard-A→Micro-B USB 2.0 DATA kablosu. Native USB kablosundan bağımsız.</t>
  </si>
  <si>
    <t>İki portu ayrı kullanmak için ikinci kablo. Mevcut data kablosu sayısını kontrol et; eksikse kart gelmeden al.</t>
  </si>
  <si>
    <t>BEKLE — eksik listesine göre</t>
  </si>
  <si>
    <t>Yalnız A-11 setinde ve laboratuvar stoğunda bulunmayan jumper/tel/header kalemleri alınmalı.</t>
  </si>
  <si>
    <t>A-11 ile mükerrer alımı önle.</t>
  </si>
  <si>
    <t>Rev02_Ek_Kalemler sayfası</t>
  </si>
  <si>
    <t>BEKLE — PAM8403 giriş tipi</t>
  </si>
  <si>
    <t>A-08 modülünün fiziksel giriş noktalarını incele; 3,5 mm jak–uç/lehime uygun kablo seç.</t>
  </si>
  <si>
    <t>Modülün küçük pin/pad girişlerine doğrudan 3,5 mm–3,5 mm kablo uymayabilir; bağlantı şeması/konektör önce doğrulanmalı.</t>
  </si>
  <si>
    <t>Rev02_Ek_Kalemler sayfası; A-08 ürün kodu 16177</t>
  </si>
  <si>
    <t>BEKLE — mekanik geometri</t>
  </si>
  <si>
    <t>O-ring, tüp ve adaptör çap/uzunlukları Kaan'ın cavity/göğüs başlığı tasarımından sonra seçilmeli.</t>
  </si>
  <si>
    <t>Bu satırın miktarı şu an planlama yer tutucusudur; geometri kararı gelmeden alınmamalı.</t>
  </si>
  <si>
    <t>SİPARİŞ VERME — ADC onayı</t>
  </si>
  <si>
    <t>Yalnız bu PCM1808 breakout satırı danışman onayı, exact product SKU/schematic/pad map ve MCLK/format/power/input coupling doğrulaması bekler.</t>
  </si>
  <si>
    <t>Çıplak PCM1808 IC datasheet'i üçüncü taraf modülün doğru bağlantı/performansını garanti etmez. Diğer bağımsız Grup A kalemlerini durdurmaz.</t>
  </si>
  <si>
    <t>ŞİMDİ ALMA — ölçüm sonrası</t>
  </si>
  <si>
    <t>W6'ya kadar baseline rail-noise/SNR ölç; yalnız sonuç gerekçelendirirse W10'a kadar uygun ve gerçek modül A/B karşılaştırması.</t>
  </si>
  <si>
    <t>LP5907 bare IC listing hazır breakout değildir; AMS1117 low-noise seçeneği diye alınmaz.</t>
  </si>
  <si>
    <t>https://www.ti.com/product/LP5907</t>
  </si>
  <si>
    <t>ZORUNLU SATIN ALMA DEĞİL</t>
  </si>
  <si>
    <t>Bölümde USB audio interface yok. Kişisel adaptörün modeli, analog capture yönü ve 20–500 Hz davranışı doğrulanmalı.</t>
  </si>
  <si>
    <t>Yanlış çıkarsa bunu PCM1808'e otomatik eşdeğer kabul etme; ADC kararı danışmanla kalır.</t>
  </si>
  <si>
    <t>Kişisel adaptör — model/işlev teyidi açık</t>
  </si>
  <si>
    <t>KARAR BEKLENİYOR — satın alma yok</t>
  </si>
  <si>
    <t>Önce Kaan laboratuvar envanteri ve uygun referans ölçüm yöntemini seçsin.</t>
  </si>
  <si>
    <t>Ucuz accelerometer/piezo otomatik olarak uygun referans değildir; 20–500 Hz, gürültü tabanı, montaj ve kalibrasyon durumu belgelensin.</t>
  </si>
  <si>
    <t>Rev02_Ek_Kalemler A-14 / Kaan</t>
  </si>
  <si>
    <t>BEKLE — optional, exact SKU yok</t>
  </si>
  <si>
    <t>Alternatif eksiterin tam MPN/modeli ve gerçek ürün sayfası seçilmeli; zorunlu baseline değildir.</t>
  </si>
  <si>
    <t>A-07 30 mm / 12 Ω birincil adaydır; ikinci farklı tip eksiter maliyete ve G2 riskine göre karar verilir. Fiyat/stok uydurulmamıştır.</t>
  </si>
  <si>
    <t>ŞİMDİ ALMA — taşıyıcı kart baseline değil</t>
  </si>
  <si>
    <t>Yalnız özel arayüz/taşıyıcı kart ihtiyacı gerekçelendirilip onaylanırsa fiziksel ölçü/spacing kontrolü ile seç.</t>
  </si>
  <si>
    <t>J3 ve ayrı MEMS carrier/daughterboard bu REV02 baseline'ında yok; doğrudan EB-R bench kablolaması pad map/rail doğrulamasına bağlıdır.</t>
  </si>
  <si>
    <t>Rev02_Ek_Kalemler A-18; ESP32-S3-DevKitC-1 user guide</t>
  </si>
  <si>
    <t>SATIN ALMA YOK — erişim teyidi</t>
  </si>
  <si>
    <t>Lehim istasyonu/mevcut lehim malzemesi için kullanım zamanı ve denetimli erişim ilk EB-R kablolamasından önce teyit edilsin.</t>
  </si>
  <si>
    <t>Mevcudiyet 12.10.2026 kullanıcı bildirimiyle kayıtlıdır; bu, erişim saati veya kalibrasyon garantisi değildir.</t>
  </si>
  <si>
    <t>Rev02_Ek_Kalemler A-21 / lab audit</t>
  </si>
  <si>
    <t>FARNELL EUR LİSTE FİYATI — KUR/KDV ÇAPRAZ KONTROLÜ | REV02</t>
  </si>
  <si>
    <t>Bu sayfa tahmini ve karşılaştırma amaçlıdır. EUR liste fiyatları 1+ net fiyat, kur 13.10.2026 TCMB EUR satış kuru, KDV %20 varsayımıdır. Kargo, gümrük, banka/kur farkı ve Farnell Türkiye canlı sepeti içermez. Ana Satın_Alma TL snapshot değerleri ayrı tutulmuştur; bu tahminlerle otomatik değiştirilmemelidir.</t>
  </si>
  <si>
    <t>Kur tarihi</t>
  </si>
  <si>
    <t>EUR/TRY satış</t>
  </si>
  <si>
    <t>KDV varsayımı</t>
  </si>
  <si>
    <t>Kur kaynağı</t>
  </si>
  <si>
    <t>https://doviz.kimibilin.com/ex/?d=13.10.2026</t>
  </si>
  <si>
    <t>Ürün</t>
  </si>
  <si>
    <t>MPN</t>
  </si>
  <si>
    <t>Liste fiyatı (EUR, KDV hariç)</t>
  </si>
  <si>
    <t>Kur (TRY/EUR)</t>
  </si>
  <si>
    <t>Tahmini TL/adet (KDV varsayımı dahil)</t>
  </si>
  <si>
    <t>Satın_Alma TL snapshot/adet</t>
  </si>
  <si>
    <t>Fark: tahmin − snapshot (TL)</t>
  </si>
  <si>
    <t>Kaynak ve uyarı</t>
  </si>
  <si>
    <t>PUI I²S MEMS değerlendirme kartı</t>
  </si>
  <si>
    <t>Farnell Türkiye public listing 1+ €2.460 net; listed 22-week standard manufacturer lead time. Stock, regional delivery and actual checkout must be rechecked. https://tr.farnell.com/pui-audio/dmm-4026-b-i2s-eb-r/eval-board-26db-1-8vdc-mems-microphone/dp/4903832</t>
  </si>
  <si>
    <t>Kingstate ECM</t>
  </si>
  <si>
    <t>Farnell Türkiye public listing 1+ €1.050 net and 1,124 stock displayed; listed 22-week standard manufacturer lead time. This page data is not a delivery promise; checkout must be rechecked. https://tr.farnell.com/kingstate/kecg2740pbj/microphone-miniature-electret/dp/1299885</t>
  </si>
  <si>
    <t>Yorum: 2,46 € ve 1,05 € liste girdileri yerel TRY snapshotlarıyla aynı kur/vergi hesabında uyuşmuyor. Farkın nedeni doğrulanmamıştır; canlı Farnell Türkiye sepeti/teklifini almadan ana satın alma fiyatı üzerine kesinlik iddiası yapılmamalıdır.</t>
  </si>
  <si>
    <t>PAM8403 ayrı durum: kullanıcı 13.10.2026 arayüzünde 21,65 TL KDV dahil + stokta yok bildirdi; erişilebilen ürün sayfası ise 19,72 TL + Add to Cart gösterdi. Çelişki nedeniyle fiyat/stok teyitsiz; Satın_Alma A-08 satırında geçici 21,65 TL kullanıcı gözlemi tutulur.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</si>
</sst>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0.00\ &quot;TRY&quot;"/>
    <numFmt numFmtId="166" formatCode="#,##0.00\ &quot;TL&quot;"/>
    <numFmt numFmtId="167" formatCode="0.000"/>
    <numFmt numFmtId="168" formatCode="0.0000"/>
    <numFmt numFmtId="169" formatCode="#,##0.0000"/>
  </numFmts>
  <fonts count="17">
    <font>
      <sz val="11"/>
      <name val="Carlito"/>
    </font>
    <font>
      <b/>
      <sz val="14"/>
      <color rgb="FFFFFFFF"/>
      <name val="Carlito"/>
    </font>
    <font>
      <b/>
      <sz val="10"/>
      <color rgb="FFFFFFFF"/>
      <name val="Carlito"/>
    </font>
    <font>
      <sz val="10"/>
      <color rgb="FF1F1F1F"/>
      <name val="Carlito"/>
    </font>
    <font>
      <b/>
      <sz val="11"/>
      <color rgb="FFFFFFFF"/>
      <name val="Carlito"/>
    </font>
    <font>
      <b/>
      <sz val="10"/>
      <color rgb="FF1F1F1F"/>
      <name val="Carlito"/>
    </font>
    <font>
      <b/>
      <sz val="11"/>
      <color rgb="FF1F1F1F"/>
      <name val="Carlito"/>
    </font>
    <font>
      <sz val="11"/>
      <color rgb="FF1F1F1F"/>
      <name val="Carlito"/>
    </font>
    <font>
      <i/>
      <sz val="10"/>
      <color rgb="FF17324D"/>
      <name val="Carlito"/>
    </font>
    <font>
      <i/>
      <sz val="10"/>
      <color rgb="FF243746"/>
      <name val="Carlito"/>
    </font>
    <font>
      <b/>
      <sz val="11"/>
      <color rgb="FF243746"/>
      <name val="Carlito"/>
    </font>
    <font>
      <i/>
      <sz val="11"/>
      <color rgb="FF59420A"/>
      <name val="Carlito"/>
    </font>
    <font>
      <b/>
      <sz val="11"/>
      <color rgb="FF17324D"/>
      <name val="Carlito"/>
    </font>
    <font>
      <i/>
      <sz val="10"/>
      <color rgb="FF404040"/>
      <name val="Carlito"/>
    </font>
    <font>
      <sz val="10"/>
      <color rgb="FF17365D"/>
      <name val="Carlito"/>
    </font>
    <font>
      <b/>
      <sz val="10"/>
      <color rgb="FF17365D"/>
      <name val="Carlito"/>
    </font>
    <font>
      <sz val="10"/>
      <color rgb="FF7F6000"/>
      <name val="Carlito"/>
    </font>
  </fonts>
  <fills count="27">
    <fill>
      <patternFill patternType="none"/>
    </fill>
    <fill>
      <patternFill patternType="gray125"/>
    </fill>
    <fill>
      <patternFill patternType="solid">
        <fgColor rgb="FFEAF3F8"/>
      </patternFill>
    </fill>
    <fill>
      <patternFill patternType="solid">
        <fgColor rgb="FF1F4E78"/>
      </patternFill>
    </fill>
    <fill>
      <patternFill patternType="solid">
        <fgColor rgb="FFE2F0D9"/>
      </patternFill>
    </fill>
    <fill>
      <patternFill patternType="solid">
        <fgColor rgb="FFD9EAF7"/>
      </patternFill>
    </fill>
    <fill>
      <patternFill patternType="solid">
        <fgColor rgb="FFFFF2CC"/>
      </patternFill>
    </fill>
    <fill>
      <patternFill patternType="solid">
        <fgColor rgb="FFE7E6E6"/>
      </patternFill>
    </fill>
    <fill>
      <patternFill patternType="solid">
        <fgColor rgb="FFF2F2F2"/>
      </patternFill>
    </fill>
    <fill>
      <patternFill patternType="solid">
        <fgColor rgb="FFDDEFF2"/>
      </patternFill>
    </fill>
    <fill>
      <patternFill patternType="solid">
        <fgColor rgb="FF16324F"/>
      </patternFill>
    </fill>
    <fill>
      <patternFill patternType="solid">
        <fgColor rgb="FFE2F0D9"/>
      </patternFill>
    </fill>
    <fill>
      <patternFill patternType="solid">
        <fgColor rgb="FFD9EAF7"/>
      </patternFill>
    </fill>
    <fill>
      <patternFill patternType="solid">
        <fgColor rgb="FFE7E6E6"/>
      </patternFill>
    </fill>
    <fill>
      <patternFill patternType="solid">
        <fgColor rgb="FF0B6B75"/>
      </patternFill>
    </fill>
    <fill>
      <patternFill patternType="solid">
        <fgColor rgb="FF17324D"/>
      </patternFill>
    </fill>
    <fill>
      <patternFill patternType="solid">
        <fgColor rgb="FFEAF0F5"/>
      </patternFill>
    </fill>
    <fill>
      <patternFill patternType="solid">
        <fgColor rgb="FF244967"/>
      </patternFill>
    </fill>
    <fill>
      <patternFill patternType="solid">
        <fgColor rgb="FFFFF4D6"/>
      </patternFill>
    </fill>
    <fill>
      <patternFill patternType="solid">
        <fgColor rgb="FFD9EAF7"/>
      </patternFill>
    </fill>
    <fill>
      <patternFill patternType="solid">
        <fgColor rgb="FF17365D"/>
      </patternFill>
    </fill>
    <fill>
      <patternFill patternType="solid">
        <fgColor rgb="FF1F4E78"/>
      </patternFill>
    </fill>
    <fill>
      <patternFill patternType="solid">
        <fgColor rgb="FF17365D"/>
      </patternFill>
    </fill>
    <fill>
      <patternFill patternType="solid">
        <fgColor rgb="FFD9EAF7"/>
      </patternFill>
    </fill>
    <fill>
      <patternFill patternType="solid">
        <fgColor rgb="FFEAF2F8"/>
      </patternFill>
    </fill>
    <fill>
      <patternFill patternType="solid">
        <fgColor rgb="FF4472C4"/>
      </patternFill>
    </fill>
    <fill>
      <patternFill patternType="solid">
        <fgColor rgb="FFFFF2CC"/>
      </patternFill>
    </fill>
  </fills>
  <borders count="1">
    <border>
      <left/>
      <right/>
      <top/>
      <bottom/>
      <diagonal/>
    </border>
  </borders>
  <cellStyleXfs count="1">
    <xf numFmtId="0" fontId="0" fillId="0" borderId="0"/>
  </cellStyleXfs>
  <cellXfs count="64">
    <xf numFmtId="0" fontId="0" fillId="0" borderId="0" xfId="0"/>
    <xf numFmtId="0" fontId="2" fillId="3" borderId="0" xfId="0" applyFont="1" applyFill="1" applyAlignment="1">
      <alignment horizontal="center" vertical="center" wrapText="1"/>
    </xf>
    <xf numFmtId="0" fontId="3" fillId="0" borderId="0" xfId="0" applyFont="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3" fillId="8" borderId="0" xfId="0" applyFont="1" applyFill="1" applyAlignment="1">
      <alignment vertical="top" wrapText="1"/>
    </xf>
    <xf numFmtId="0" fontId="2" fillId="10" borderId="0" xfId="0" applyFont="1" applyFill="1" applyAlignment="1">
      <alignment horizontal="center" vertical="center" wrapText="1"/>
    </xf>
    <xf numFmtId="0" fontId="0" fillId="0" borderId="0" xfId="0" applyAlignment="1">
      <alignment wrapText="1"/>
    </xf>
    <xf numFmtId="0" fontId="3" fillId="11" borderId="0" xfId="0" applyFont="1" applyFill="1" applyAlignment="1">
      <alignment vertical="top" wrapText="1"/>
    </xf>
    <xf numFmtId="0" fontId="0" fillId="11" borderId="0" xfId="0" applyFill="1" applyAlignment="1">
      <alignment wrapText="1"/>
    </xf>
    <xf numFmtId="0" fontId="3" fillId="12" borderId="0" xfId="0" applyFont="1" applyFill="1" applyAlignment="1">
      <alignment vertical="top" wrapText="1"/>
    </xf>
    <xf numFmtId="0" fontId="0" fillId="12" borderId="0" xfId="0" applyFill="1" applyAlignment="1">
      <alignment wrapText="1"/>
    </xf>
    <xf numFmtId="0" fontId="3" fillId="13" borderId="0" xfId="0" applyFont="1" applyFill="1" applyAlignment="1">
      <alignment vertical="top" wrapText="1"/>
    </xf>
    <xf numFmtId="0" fontId="0" fillId="13" borderId="0" xfId="0" applyFill="1" applyAlignment="1">
      <alignment wrapText="1"/>
    </xf>
    <xf numFmtId="0" fontId="2" fillId="0" borderId="0" xfId="0" applyFont="1" applyAlignment="1">
      <alignment horizontal="center" vertical="center" wrapText="1"/>
    </xf>
    <xf numFmtId="165" fontId="3" fillId="4" borderId="0" xfId="0" applyNumberFormat="1" applyFont="1" applyFill="1" applyAlignment="1">
      <alignment vertical="top" wrapText="1"/>
    </xf>
    <xf numFmtId="165" fontId="3" fillId="5" borderId="0" xfId="0" applyNumberFormat="1" applyFont="1" applyFill="1" applyAlignment="1">
      <alignment vertical="top" wrapText="1"/>
    </xf>
    <xf numFmtId="165" fontId="3" fillId="7" borderId="0" xfId="0" applyNumberFormat="1" applyFont="1" applyFill="1" applyAlignment="1">
      <alignment vertical="top" wrapText="1"/>
    </xf>
    <xf numFmtId="165" fontId="0" fillId="0" borderId="0" xfId="0" applyNumberFormat="1"/>
    <xf numFmtId="165" fontId="3" fillId="0" borderId="0" xfId="0" applyNumberFormat="1" applyFont="1" applyAlignment="1">
      <alignment vertical="top" wrapText="1"/>
    </xf>
    <xf numFmtId="165" fontId="0" fillId="0" borderId="0" xfId="0" applyNumberFormat="1" applyAlignment="1">
      <alignment wrapText="1"/>
    </xf>
    <xf numFmtId="165" fontId="6" fillId="4" borderId="0" xfId="0" applyNumberFormat="1" applyFont="1" applyFill="1" applyAlignment="1">
      <alignment wrapText="1"/>
    </xf>
    <xf numFmtId="0" fontId="4" fillId="17" borderId="0" xfId="0" applyFont="1" applyFill="1" applyAlignment="1">
      <alignment horizontal="center" vertical="center" wrapText="1"/>
    </xf>
    <xf numFmtId="0" fontId="0" fillId="0" borderId="0" xfId="0" applyAlignment="1">
      <alignment vertical="top" wrapText="1"/>
    </xf>
    <xf numFmtId="0" fontId="10" fillId="16" borderId="0" xfId="0" applyFont="1" applyFill="1" applyAlignment="1">
      <alignment vertical="center" wrapText="1"/>
    </xf>
    <xf numFmtId="166" fontId="0" fillId="0" borderId="0" xfId="0" applyNumberFormat="1" applyAlignment="1">
      <alignment vertical="top" wrapText="1"/>
    </xf>
    <xf numFmtId="166" fontId="10" fillId="16" borderId="0" xfId="0" applyNumberFormat="1" applyFont="1" applyFill="1" applyAlignment="1">
      <alignment vertical="center" wrapText="1"/>
    </xf>
    <xf numFmtId="0" fontId="6" fillId="2" borderId="0" xfId="0" applyFont="1" applyFill="1" applyAlignment="1">
      <alignment vertical="top" wrapText="1"/>
    </xf>
    <xf numFmtId="0" fontId="0" fillId="4" borderId="0" xfId="0" applyFill="1" applyAlignment="1">
      <alignment vertical="top" wrapText="1"/>
    </xf>
    <xf numFmtId="0" fontId="4" fillId="21" borderId="0" xfId="0" applyFont="1" applyFill="1" applyAlignment="1">
      <alignment horizontal="center" vertical="center" wrapText="1"/>
    </xf>
    <xf numFmtId="0" fontId="15" fillId="24" borderId="0" xfId="0" applyFont="1" applyFill="1" applyAlignment="1">
      <alignment vertical="center" wrapText="1"/>
    </xf>
    <xf numFmtId="0" fontId="2" fillId="25" borderId="0" xfId="0" applyFont="1" applyFill="1" applyAlignment="1">
      <alignment horizontal="center" vertical="center" wrapText="1"/>
    </xf>
    <xf numFmtId="167" fontId="0" fillId="0" borderId="0" xfId="0" applyNumberFormat="1" applyAlignment="1">
      <alignment vertical="top" wrapText="1"/>
    </xf>
    <xf numFmtId="168" fontId="0" fillId="0" borderId="0" xfId="0" applyNumberFormat="1" applyAlignment="1">
      <alignment vertical="top" wrapText="1"/>
    </xf>
    <xf numFmtId="9" fontId="0" fillId="0" borderId="0" xfId="0" applyNumberFormat="1" applyAlignment="1">
      <alignment vertical="top" wrapText="1"/>
    </xf>
    <xf numFmtId="4" fontId="0" fillId="0" borderId="0" xfId="0" applyNumberFormat="1" applyAlignment="1">
      <alignment vertical="top" wrapText="1"/>
    </xf>
    <xf numFmtId="169" fontId="15" fillId="24" borderId="0" xfId="0" applyNumberFormat="1" applyFont="1" applyFill="1" applyAlignment="1">
      <alignment vertical="center" wrapText="1"/>
    </xf>
    <xf numFmtId="9" fontId="15" fillId="24" borderId="0" xfId="0" applyNumberFormat="1" applyFont="1" applyFill="1" applyAlignment="1">
      <alignment vertical="center" wrapText="1"/>
    </xf>
    <xf numFmtId="0" fontId="4" fillId="3" borderId="0" xfId="0" applyFont="1" applyFill="1" applyAlignment="1">
      <alignment horizontal="left" wrapText="1"/>
    </xf>
    <xf numFmtId="0" fontId="1" fillId="14" borderId="0" xfId="0" applyFont="1" applyFill="1" applyAlignment="1">
      <alignment horizontal="left" vertical="center" wrapText="1"/>
    </xf>
    <xf numFmtId="0" fontId="8" fillId="9" borderId="0" xfId="0" applyFont="1" applyFill="1" applyAlignment="1">
      <alignment horizontal="left" vertical="top" wrapText="1"/>
    </xf>
    <xf numFmtId="0" fontId="5" fillId="2" borderId="0" xfId="0" applyFont="1" applyFill="1" applyAlignment="1">
      <alignment horizontal="left" vertical="center" wrapText="1"/>
    </xf>
    <xf numFmtId="0" fontId="5" fillId="2" borderId="0" xfId="0" applyFont="1" applyFill="1" applyAlignment="1">
      <alignment wrapText="1"/>
    </xf>
    <xf numFmtId="0" fontId="5" fillId="6" borderId="0" xfId="0" applyFont="1" applyFill="1" applyAlignment="1">
      <alignment horizontal="left" vertical="center" wrapText="1"/>
    </xf>
    <xf numFmtId="0" fontId="5" fillId="6" borderId="0" xfId="0" applyFont="1" applyFill="1" applyAlignment="1">
      <alignment wrapText="1"/>
    </xf>
    <xf numFmtId="0" fontId="1" fillId="15" borderId="0" xfId="0" applyFont="1" applyFill="1" applyAlignment="1">
      <alignment horizontal="left" vertical="center" wrapText="1"/>
    </xf>
    <xf numFmtId="0" fontId="9" fillId="16" borderId="0" xfId="0" applyFont="1" applyFill="1" applyAlignment="1">
      <alignment horizontal="left" vertical="center" wrapText="1"/>
    </xf>
    <xf numFmtId="0" fontId="9" fillId="16" borderId="0" xfId="0" applyFont="1" applyFill="1" applyAlignment="1">
      <alignment vertical="center" wrapText="1"/>
    </xf>
    <xf numFmtId="0" fontId="6" fillId="2" borderId="0" xfId="0" applyFont="1" applyFill="1" applyAlignment="1">
      <alignment wrapText="1"/>
    </xf>
    <xf numFmtId="0" fontId="4" fillId="3" borderId="0" xfId="0" applyFont="1" applyFill="1" applyAlignment="1">
      <alignment wrapText="1"/>
    </xf>
    <xf numFmtId="0" fontId="7" fillId="8" borderId="0" xfId="0" applyFont="1" applyFill="1" applyAlignment="1">
      <alignment vertical="top" wrapText="1"/>
    </xf>
    <xf numFmtId="0" fontId="12" fillId="19" borderId="0" xfId="0" applyFont="1" applyFill="1" applyAlignment="1">
      <alignment vertical="center" wrapText="1"/>
    </xf>
    <xf numFmtId="0" fontId="4" fillId="3" borderId="0" xfId="0" applyFont="1" applyFill="1" applyAlignment="1">
      <alignment horizontal="right" wrapText="1"/>
    </xf>
    <xf numFmtId="165" fontId="4" fillId="3" borderId="0" xfId="0" applyNumberFormat="1" applyFont="1" applyFill="1" applyAlignment="1">
      <alignment horizontal="right" wrapText="1"/>
    </xf>
    <xf numFmtId="0" fontId="11" fillId="18" borderId="0" xfId="0" applyFont="1" applyFill="1" applyAlignment="1">
      <alignment vertical="top" wrapText="1"/>
    </xf>
    <xf numFmtId="0" fontId="1" fillId="20" borderId="0" xfId="0" applyFont="1" applyFill="1" applyAlignment="1">
      <alignment horizontal="left" vertical="center"/>
    </xf>
    <xf numFmtId="0" fontId="13" fillId="0" borderId="0" xfId="0" applyFont="1" applyAlignment="1">
      <alignment wrapText="1"/>
    </xf>
    <xf numFmtId="0" fontId="1" fillId="22" borderId="0" xfId="0" applyFont="1" applyFill="1" applyAlignment="1">
      <alignment horizontal="left" vertical="center" wrapText="1"/>
    </xf>
    <xf numFmtId="0" fontId="14" fillId="23" borderId="0" xfId="0" applyFont="1" applyFill="1" applyAlignment="1">
      <alignment vertical="center" wrapText="1"/>
    </xf>
    <xf numFmtId="0" fontId="15" fillId="24" borderId="0" xfId="0" applyFont="1" applyFill="1" applyAlignment="1">
      <alignment vertical="center" wrapText="1"/>
    </xf>
    <xf numFmtId="0" fontId="0" fillId="0" borderId="0" xfId="0"/>
    <xf numFmtId="0" fontId="16" fillId="26"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topLeftCell="A4" workbookViewId="0">
      <selection sqref="A1:D1"/>
    </sheetView>
  </sheetViews>
  <sheetFormatPr defaultRowHeight="14.25"/>
  <cols>
    <col min="1" max="1" width="24" customWidth="1"/>
    <col min="2" max="2" width="28" customWidth="1"/>
    <col min="3" max="3" width="70" customWidth="1"/>
    <col min="4" max="4" width="36" customWidth="1"/>
    <col min="5" max="8" width="18" customWidth="1"/>
  </cols>
  <sheetData>
    <row r="1" spans="1:4" ht="27.95" customHeight="1">
      <c r="A1" s="41" t="s">
        <v>600</v>
      </c>
      <c r="B1" s="41"/>
      <c r="C1" s="41"/>
      <c r="D1" s="41"/>
    </row>
    <row r="2" spans="1:4" ht="105" customHeight="1">
      <c r="A2" s="42" t="s">
        <v>601</v>
      </c>
      <c r="B2" s="42"/>
      <c r="C2" s="42"/>
      <c r="D2" s="42"/>
    </row>
    <row r="3" spans="1:4">
      <c r="A3" s="9"/>
      <c r="B3" s="9"/>
      <c r="C3" s="9"/>
      <c r="D3" s="9"/>
    </row>
    <row r="4" spans="1:4" ht="30" customHeight="1">
      <c r="A4" s="1" t="s">
        <v>0</v>
      </c>
      <c r="B4" s="1" t="s">
        <v>1</v>
      </c>
      <c r="C4" s="1" t="s">
        <v>2</v>
      </c>
      <c r="D4" s="9"/>
    </row>
    <row r="5" spans="1:4" ht="39.950000000000003" customHeight="1">
      <c r="A5" s="2" t="s">
        <v>3</v>
      </c>
      <c r="B5" s="2" t="s">
        <v>4</v>
      </c>
      <c r="C5" s="2" t="s">
        <v>5</v>
      </c>
      <c r="D5" s="9"/>
    </row>
    <row r="6" spans="1:4" ht="39.950000000000003" customHeight="1">
      <c r="A6" s="2" t="s">
        <v>6</v>
      </c>
      <c r="B6" s="2" t="s">
        <v>7</v>
      </c>
      <c r="C6" s="2" t="s">
        <v>8</v>
      </c>
      <c r="D6" s="9"/>
    </row>
    <row r="7" spans="1:4" ht="39.950000000000003" customHeight="1">
      <c r="A7" s="2" t="s">
        <v>9</v>
      </c>
      <c r="B7" s="2" t="s">
        <v>10</v>
      </c>
      <c r="C7" s="2" t="s">
        <v>11</v>
      </c>
      <c r="D7" s="9"/>
    </row>
    <row r="8" spans="1:4" ht="39.950000000000003" customHeight="1">
      <c r="A8" s="2" t="s">
        <v>12</v>
      </c>
      <c r="B8" s="2" t="s">
        <v>13</v>
      </c>
      <c r="C8" s="2" t="s">
        <v>14</v>
      </c>
      <c r="D8" s="9"/>
    </row>
    <row r="9" spans="1:4" ht="39.950000000000003" customHeight="1">
      <c r="A9" s="2" t="s">
        <v>15</v>
      </c>
      <c r="B9" s="2" t="s">
        <v>16</v>
      </c>
      <c r="C9" s="2" t="s">
        <v>17</v>
      </c>
      <c r="D9" s="9"/>
    </row>
    <row r="10" spans="1:4" ht="39.950000000000003" customHeight="1">
      <c r="A10" s="2" t="s">
        <v>18</v>
      </c>
      <c r="B10" s="2" t="s">
        <v>19</v>
      </c>
      <c r="C10" s="2" t="s">
        <v>20</v>
      </c>
      <c r="D10" s="9"/>
    </row>
    <row r="11" spans="1:4" ht="42.75">
      <c r="A11" s="9" t="s">
        <v>602</v>
      </c>
      <c r="B11" s="9" t="s">
        <v>603</v>
      </c>
      <c r="C11" s="9" t="s">
        <v>604</v>
      </c>
      <c r="D11" s="9"/>
    </row>
    <row r="12" spans="1:4" ht="15">
      <c r="A12" s="40" t="s">
        <v>21</v>
      </c>
      <c r="B12" s="40"/>
      <c r="C12" s="40"/>
      <c r="D12" s="40"/>
    </row>
    <row r="13" spans="1:4" ht="30" customHeight="1">
      <c r="A13" s="1" t="s">
        <v>22</v>
      </c>
      <c r="B13" s="1" t="s">
        <v>605</v>
      </c>
      <c r="C13" s="1" t="s">
        <v>23</v>
      </c>
      <c r="D13" s="1" t="s">
        <v>606</v>
      </c>
    </row>
    <row r="14" spans="1:4" ht="25.5">
      <c r="A14" s="3" t="s">
        <v>24</v>
      </c>
      <c r="B14" s="3" t="s">
        <v>25</v>
      </c>
      <c r="C14" s="3" t="s">
        <v>26</v>
      </c>
      <c r="D14" s="3" t="s">
        <v>27</v>
      </c>
    </row>
    <row r="15" spans="1:4">
      <c r="A15" s="4" t="s">
        <v>28</v>
      </c>
      <c r="B15" s="4" t="s">
        <v>29</v>
      </c>
      <c r="C15" s="4" t="s">
        <v>30</v>
      </c>
      <c r="D15" s="4" t="s">
        <v>31</v>
      </c>
    </row>
    <row r="16" spans="1:4" ht="25.5">
      <c r="A16" s="5" t="s">
        <v>32</v>
      </c>
      <c r="B16" s="5" t="s">
        <v>33</v>
      </c>
      <c r="C16" s="5" t="s">
        <v>34</v>
      </c>
      <c r="D16" s="5" t="s">
        <v>35</v>
      </c>
    </row>
    <row r="17" spans="1:4" ht="25.5">
      <c r="A17" s="6" t="s">
        <v>36</v>
      </c>
      <c r="B17" s="6" t="s">
        <v>37</v>
      </c>
      <c r="C17" s="6" t="s">
        <v>38</v>
      </c>
      <c r="D17" s="6" t="s">
        <v>39</v>
      </c>
    </row>
    <row r="18" spans="1:4">
      <c r="A18" s="9"/>
      <c r="B18" s="9"/>
      <c r="C18" s="9"/>
      <c r="D18" s="9"/>
    </row>
    <row r="19" spans="1:4" ht="15">
      <c r="A19" s="40" t="s">
        <v>40</v>
      </c>
      <c r="B19" s="40"/>
      <c r="C19" s="40"/>
      <c r="D19" s="40"/>
    </row>
    <row r="20" spans="1:4" ht="30" customHeight="1">
      <c r="A20" s="1" t="s">
        <v>41</v>
      </c>
      <c r="B20" s="1" t="s">
        <v>42</v>
      </c>
      <c r="C20" s="1" t="s">
        <v>43</v>
      </c>
      <c r="D20" s="9"/>
    </row>
    <row r="21" spans="1:4" ht="38.1" customHeight="1">
      <c r="A21" s="2">
        <v>1</v>
      </c>
      <c r="B21" s="2" t="s">
        <v>44</v>
      </c>
      <c r="C21" s="2" t="s">
        <v>45</v>
      </c>
      <c r="D21" s="9"/>
    </row>
    <row r="22" spans="1:4" ht="38.1" customHeight="1">
      <c r="A22" s="2">
        <v>2</v>
      </c>
      <c r="B22" s="2" t="s">
        <v>46</v>
      </c>
      <c r="C22" s="2" t="s">
        <v>47</v>
      </c>
      <c r="D22" s="9"/>
    </row>
    <row r="23" spans="1:4" ht="38.1" customHeight="1">
      <c r="A23" s="2">
        <v>3</v>
      </c>
      <c r="B23" s="2" t="s">
        <v>48</v>
      </c>
      <c r="C23" s="2" t="s">
        <v>49</v>
      </c>
      <c r="D23" s="9"/>
    </row>
    <row r="24" spans="1:4" ht="38.1" customHeight="1">
      <c r="A24" s="2">
        <v>4</v>
      </c>
      <c r="B24" s="2" t="s">
        <v>50</v>
      </c>
      <c r="C24" s="2" t="s">
        <v>51</v>
      </c>
      <c r="D24" s="9"/>
    </row>
    <row r="25" spans="1:4" ht="38.1" customHeight="1">
      <c r="A25" s="2">
        <v>5</v>
      </c>
      <c r="B25" s="2" t="s">
        <v>52</v>
      </c>
      <c r="C25" s="2" t="s">
        <v>53</v>
      </c>
      <c r="D25" s="9"/>
    </row>
    <row r="26" spans="1:4" ht="138" customHeight="1">
      <c r="A26" s="25" t="s">
        <v>607</v>
      </c>
      <c r="B26" s="25" t="s">
        <v>608</v>
      </c>
      <c r="C26" s="25" t="s">
        <v>609</v>
      </c>
      <c r="D26" s="25"/>
    </row>
    <row r="27" spans="1:4">
      <c r="A27" s="16"/>
      <c r="B27" s="16"/>
      <c r="C27" s="16"/>
      <c r="D27" s="9"/>
    </row>
    <row r="28" spans="1:4">
      <c r="A28" s="9"/>
      <c r="B28" s="9"/>
      <c r="C28" s="9"/>
      <c r="D28" s="9"/>
    </row>
    <row r="29" spans="1:4">
      <c r="A29" s="9"/>
      <c r="B29" s="9"/>
      <c r="C29" s="9"/>
      <c r="D29" s="9"/>
    </row>
    <row r="30" spans="1:4">
      <c r="A30" s="9"/>
      <c r="B30" s="9"/>
      <c r="C30" s="9"/>
      <c r="D30" s="9"/>
    </row>
  </sheetData>
  <mergeCells count="4">
    <mergeCell ref="A12:D12"/>
    <mergeCell ref="A19:D19"/>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
  <sheetViews>
    <sheetView workbookViewId="0"/>
  </sheetViews>
  <sheetFormatPr defaultRowHeight="14.25"/>
  <cols>
    <col min="1" max="1" width="12" customWidth="1"/>
    <col min="2" max="2" width="15" customWidth="1"/>
    <col min="3" max="3" width="18" customWidth="1"/>
    <col min="4" max="4" width="28" customWidth="1"/>
    <col min="5" max="5" width="35" customWidth="1"/>
    <col min="6" max="6" width="24" customWidth="1"/>
    <col min="7" max="7" width="44" customWidth="1"/>
    <col min="8" max="8" width="9" customWidth="1"/>
    <col min="9" max="10" width="16" customWidth="1"/>
    <col min="11" max="11" width="32" customWidth="1"/>
    <col min="12" max="12" width="30" customWidth="1"/>
    <col min="13" max="13" width="34" customWidth="1"/>
    <col min="14" max="14" width="42" customWidth="1"/>
    <col min="15" max="15" width="27" customWidth="1"/>
    <col min="16" max="16" width="65" customWidth="1"/>
  </cols>
  <sheetData>
    <row r="1" spans="1:16" ht="27.95" customHeight="1">
      <c r="A1" s="47" t="s">
        <v>610</v>
      </c>
      <c r="B1" s="47"/>
      <c r="C1" s="47"/>
      <c r="D1" s="47"/>
      <c r="E1" s="47"/>
      <c r="F1" s="47"/>
      <c r="G1" s="47"/>
      <c r="H1" s="47"/>
      <c r="I1" s="47"/>
      <c r="J1" s="47"/>
      <c r="K1" s="47"/>
      <c r="L1" s="47"/>
      <c r="M1" s="47"/>
      <c r="N1" s="47"/>
      <c r="O1" s="47"/>
      <c r="P1" s="47"/>
    </row>
    <row r="2" spans="1:16" ht="33.950000000000003" customHeight="1">
      <c r="A2" s="48" t="s">
        <v>611</v>
      </c>
      <c r="B2" s="49"/>
      <c r="C2" s="49"/>
      <c r="D2" s="49"/>
      <c r="E2" s="49"/>
      <c r="F2" s="49"/>
      <c r="G2" s="49"/>
      <c r="H2" s="49"/>
      <c r="I2" s="49"/>
      <c r="J2" s="49"/>
      <c r="K2" s="49"/>
      <c r="L2" s="49"/>
      <c r="M2" s="49"/>
      <c r="N2" s="49"/>
      <c r="O2" s="49"/>
      <c r="P2" s="49"/>
    </row>
    <row r="4" spans="1:16" ht="30" customHeight="1">
      <c r="A4" s="8" t="s">
        <v>54</v>
      </c>
      <c r="B4" s="8" t="s">
        <v>55</v>
      </c>
      <c r="C4" s="8" t="s">
        <v>56</v>
      </c>
      <c r="D4" s="8" t="s">
        <v>57</v>
      </c>
      <c r="E4" s="8" t="s">
        <v>58</v>
      </c>
      <c r="F4" s="8" t="s">
        <v>59</v>
      </c>
      <c r="G4" s="8" t="s">
        <v>60</v>
      </c>
      <c r="H4" s="8" t="s">
        <v>61</v>
      </c>
      <c r="I4" s="8" t="s">
        <v>62</v>
      </c>
      <c r="J4" s="8" t="s">
        <v>63</v>
      </c>
      <c r="K4" s="8" t="s">
        <v>64</v>
      </c>
      <c r="L4" s="8" t="s">
        <v>65</v>
      </c>
      <c r="M4" s="8" t="s">
        <v>66</v>
      </c>
      <c r="N4" s="8" t="s">
        <v>67</v>
      </c>
      <c r="O4" s="8" t="s">
        <v>68</v>
      </c>
      <c r="P4" s="8" t="s">
        <v>69</v>
      </c>
    </row>
    <row r="5" spans="1:16" ht="44.1" customHeight="1">
      <c r="A5" s="10" t="s">
        <v>70</v>
      </c>
      <c r="B5" s="10" t="s">
        <v>71</v>
      </c>
      <c r="C5" s="10" t="s">
        <v>72</v>
      </c>
      <c r="D5" s="10" t="s">
        <v>73</v>
      </c>
      <c r="E5" s="10" t="s">
        <v>74</v>
      </c>
      <c r="F5" s="10" t="s">
        <v>75</v>
      </c>
      <c r="G5" s="10" t="s">
        <v>76</v>
      </c>
      <c r="H5" s="10">
        <v>1</v>
      </c>
      <c r="I5" s="17">
        <v>679.99</v>
      </c>
      <c r="J5" s="17">
        <f t="shared" ref="J5:J16" si="0">H5*I5</f>
        <v>679.99</v>
      </c>
      <c r="K5" s="10" t="s">
        <v>77</v>
      </c>
      <c r="L5" s="10" t="s">
        <v>78</v>
      </c>
      <c r="M5" s="11" t="s">
        <v>79</v>
      </c>
      <c r="N5" s="11" t="s">
        <v>80</v>
      </c>
      <c r="O5" s="11" t="s">
        <v>612</v>
      </c>
      <c r="P5" s="11" t="s">
        <v>81</v>
      </c>
    </row>
    <row r="6" spans="1:16" ht="44.1" customHeight="1">
      <c r="A6" s="10" t="s">
        <v>82</v>
      </c>
      <c r="B6" s="10" t="s">
        <v>71</v>
      </c>
      <c r="C6" s="10" t="s">
        <v>72</v>
      </c>
      <c r="D6" s="10" t="s">
        <v>83</v>
      </c>
      <c r="E6" s="10" t="s">
        <v>84</v>
      </c>
      <c r="F6" s="10" t="s">
        <v>85</v>
      </c>
      <c r="G6" s="10" t="s">
        <v>86</v>
      </c>
      <c r="H6" s="10">
        <v>4</v>
      </c>
      <c r="I6" s="17">
        <v>58.45</v>
      </c>
      <c r="J6" s="17">
        <f t="shared" si="0"/>
        <v>233.8</v>
      </c>
      <c r="K6" s="10" t="s">
        <v>87</v>
      </c>
      <c r="L6" s="10" t="s">
        <v>613</v>
      </c>
      <c r="M6" s="11" t="s">
        <v>88</v>
      </c>
      <c r="N6" s="11" t="s">
        <v>89</v>
      </c>
      <c r="O6" s="11" t="s">
        <v>614</v>
      </c>
      <c r="P6" s="11" t="s">
        <v>615</v>
      </c>
    </row>
    <row r="7" spans="1:16" ht="114.95" customHeight="1">
      <c r="A7" s="3" t="s">
        <v>90</v>
      </c>
      <c r="B7" s="3" t="s">
        <v>71</v>
      </c>
      <c r="C7" s="3" t="s">
        <v>616</v>
      </c>
      <c r="D7" s="3" t="s">
        <v>617</v>
      </c>
      <c r="E7" s="3" t="s">
        <v>618</v>
      </c>
      <c r="F7" s="3" t="s">
        <v>85</v>
      </c>
      <c r="G7" s="3" t="s">
        <v>91</v>
      </c>
      <c r="H7" s="3">
        <v>3</v>
      </c>
      <c r="I7" s="17">
        <v>234.9</v>
      </c>
      <c r="J7" s="17">
        <f t="shared" si="0"/>
        <v>704.7</v>
      </c>
      <c r="K7" s="3" t="s">
        <v>619</v>
      </c>
      <c r="L7" s="3" t="s">
        <v>620</v>
      </c>
      <c r="M7" s="30" t="s">
        <v>92</v>
      </c>
      <c r="N7" s="30" t="s">
        <v>621</v>
      </c>
      <c r="O7" s="30" t="s">
        <v>622</v>
      </c>
      <c r="P7" s="30" t="s">
        <v>623</v>
      </c>
    </row>
    <row r="8" spans="1:16" ht="44.1" customHeight="1">
      <c r="A8" s="10" t="s">
        <v>93</v>
      </c>
      <c r="B8" s="10" t="s">
        <v>71</v>
      </c>
      <c r="C8" s="10" t="s">
        <v>72</v>
      </c>
      <c r="D8" s="10" t="s">
        <v>94</v>
      </c>
      <c r="E8" s="10" t="s">
        <v>95</v>
      </c>
      <c r="F8" s="10" t="s">
        <v>96</v>
      </c>
      <c r="G8" s="10" t="s">
        <v>97</v>
      </c>
      <c r="H8" s="10">
        <v>5</v>
      </c>
      <c r="I8" s="17">
        <v>58.12</v>
      </c>
      <c r="J8" s="17">
        <f t="shared" si="0"/>
        <v>290.59999999999997</v>
      </c>
      <c r="K8" s="10" t="s">
        <v>98</v>
      </c>
      <c r="L8" s="10" t="s">
        <v>78</v>
      </c>
      <c r="M8" s="11" t="s">
        <v>99</v>
      </c>
      <c r="N8" s="11" t="s">
        <v>100</v>
      </c>
      <c r="O8" s="11" t="s">
        <v>624</v>
      </c>
      <c r="P8" s="11" t="s">
        <v>625</v>
      </c>
    </row>
    <row r="9" spans="1:16" ht="44.1" customHeight="1">
      <c r="A9" s="10" t="s">
        <v>101</v>
      </c>
      <c r="B9" s="10" t="s">
        <v>71</v>
      </c>
      <c r="C9" s="10" t="s">
        <v>72</v>
      </c>
      <c r="D9" s="10" t="s">
        <v>102</v>
      </c>
      <c r="E9" s="10" t="s">
        <v>103</v>
      </c>
      <c r="F9" s="10" t="s">
        <v>104</v>
      </c>
      <c r="G9" s="10" t="s">
        <v>105</v>
      </c>
      <c r="H9" s="10">
        <v>1</v>
      </c>
      <c r="I9" s="17">
        <v>1152.3800000000001</v>
      </c>
      <c r="J9" s="17">
        <f t="shared" si="0"/>
        <v>1152.3800000000001</v>
      </c>
      <c r="K9" s="10" t="s">
        <v>106</v>
      </c>
      <c r="L9" s="10" t="s">
        <v>78</v>
      </c>
      <c r="M9" s="11" t="s">
        <v>107</v>
      </c>
      <c r="N9" s="11" t="s">
        <v>108</v>
      </c>
      <c r="O9" s="11" t="s">
        <v>626</v>
      </c>
      <c r="P9" s="11" t="s">
        <v>627</v>
      </c>
    </row>
    <row r="10" spans="1:16" ht="44.1" customHeight="1">
      <c r="A10" s="10" t="s">
        <v>109</v>
      </c>
      <c r="B10" s="10" t="s">
        <v>71</v>
      </c>
      <c r="C10" s="10" t="s">
        <v>72</v>
      </c>
      <c r="D10" s="10" t="s">
        <v>110</v>
      </c>
      <c r="E10" s="10" t="s">
        <v>111</v>
      </c>
      <c r="F10" s="10" t="s">
        <v>112</v>
      </c>
      <c r="G10" s="10" t="s">
        <v>113</v>
      </c>
      <c r="H10" s="10">
        <v>2</v>
      </c>
      <c r="I10" s="17">
        <v>718.06</v>
      </c>
      <c r="J10" s="17">
        <f t="shared" si="0"/>
        <v>1436.12</v>
      </c>
      <c r="K10" s="10" t="s">
        <v>114</v>
      </c>
      <c r="L10" s="10" t="s">
        <v>115</v>
      </c>
      <c r="M10" s="11" t="s">
        <v>116</v>
      </c>
      <c r="N10" s="11" t="s">
        <v>117</v>
      </c>
      <c r="O10" s="11" t="s">
        <v>614</v>
      </c>
      <c r="P10" s="11" t="s">
        <v>628</v>
      </c>
    </row>
    <row r="11" spans="1:16" ht="44.1" customHeight="1">
      <c r="A11" s="10" t="s">
        <v>118</v>
      </c>
      <c r="B11" s="10" t="s">
        <v>71</v>
      </c>
      <c r="C11" s="10" t="s">
        <v>72</v>
      </c>
      <c r="D11" s="10" t="s">
        <v>119</v>
      </c>
      <c r="E11" s="10" t="s">
        <v>120</v>
      </c>
      <c r="F11" s="10" t="s">
        <v>121</v>
      </c>
      <c r="G11" s="10" t="s">
        <v>122</v>
      </c>
      <c r="H11" s="10">
        <v>1</v>
      </c>
      <c r="I11" s="17">
        <v>103.95</v>
      </c>
      <c r="J11" s="17">
        <f t="shared" si="0"/>
        <v>103.95</v>
      </c>
      <c r="K11" s="10" t="s">
        <v>123</v>
      </c>
      <c r="L11" s="10" t="s">
        <v>124</v>
      </c>
      <c r="M11" s="11" t="s">
        <v>125</v>
      </c>
      <c r="N11" s="11" t="s">
        <v>126</v>
      </c>
      <c r="O11" s="11" t="s">
        <v>614</v>
      </c>
      <c r="P11" s="11" t="s">
        <v>629</v>
      </c>
    </row>
    <row r="12" spans="1:16" ht="63.95" customHeight="1">
      <c r="A12" s="10" t="s">
        <v>127</v>
      </c>
      <c r="B12" s="10" t="s">
        <v>71</v>
      </c>
      <c r="C12" s="10" t="s">
        <v>72</v>
      </c>
      <c r="D12" s="10" t="s">
        <v>128</v>
      </c>
      <c r="E12" s="10" t="s">
        <v>630</v>
      </c>
      <c r="F12" s="10" t="s">
        <v>104</v>
      </c>
      <c r="G12" s="10" t="s">
        <v>631</v>
      </c>
      <c r="H12" s="10">
        <v>2</v>
      </c>
      <c r="I12" s="17">
        <v>21.65</v>
      </c>
      <c r="J12" s="17">
        <f t="shared" si="0"/>
        <v>43.3</v>
      </c>
      <c r="K12" s="3" t="s">
        <v>632</v>
      </c>
      <c r="L12" s="10" t="s">
        <v>633</v>
      </c>
      <c r="M12" s="11" t="s">
        <v>129</v>
      </c>
      <c r="N12" s="11" t="s">
        <v>130</v>
      </c>
      <c r="O12" s="11" t="s">
        <v>634</v>
      </c>
      <c r="P12" s="11" t="s">
        <v>635</v>
      </c>
    </row>
    <row r="13" spans="1:16" ht="44.1" customHeight="1">
      <c r="A13" s="10" t="s">
        <v>131</v>
      </c>
      <c r="B13" s="10" t="s">
        <v>71</v>
      </c>
      <c r="C13" s="10" t="s">
        <v>72</v>
      </c>
      <c r="D13" s="10" t="s">
        <v>132</v>
      </c>
      <c r="E13" s="10" t="s">
        <v>133</v>
      </c>
      <c r="F13" s="10" t="s">
        <v>134</v>
      </c>
      <c r="G13" s="10" t="s">
        <v>135</v>
      </c>
      <c r="H13" s="10">
        <v>1</v>
      </c>
      <c r="I13" s="17">
        <v>1173</v>
      </c>
      <c r="J13" s="17">
        <f t="shared" si="0"/>
        <v>1173</v>
      </c>
      <c r="K13" s="10" t="s">
        <v>136</v>
      </c>
      <c r="L13" s="10" t="s">
        <v>137</v>
      </c>
      <c r="M13" s="11" t="s">
        <v>138</v>
      </c>
      <c r="N13" s="11" t="s">
        <v>139</v>
      </c>
      <c r="O13" s="11" t="s">
        <v>636</v>
      </c>
      <c r="P13" s="11" t="s">
        <v>637</v>
      </c>
    </row>
    <row r="14" spans="1:16" ht="44.1" customHeight="1">
      <c r="A14" s="10" t="s">
        <v>140</v>
      </c>
      <c r="B14" s="10" t="s">
        <v>71</v>
      </c>
      <c r="C14" s="10" t="s">
        <v>72</v>
      </c>
      <c r="D14" s="10" t="s">
        <v>141</v>
      </c>
      <c r="E14" s="10" t="s">
        <v>142</v>
      </c>
      <c r="F14" s="10" t="s">
        <v>143</v>
      </c>
      <c r="G14" s="10" t="s">
        <v>144</v>
      </c>
      <c r="H14" s="10">
        <v>1</v>
      </c>
      <c r="I14" s="17">
        <v>349</v>
      </c>
      <c r="J14" s="17">
        <f t="shared" si="0"/>
        <v>349</v>
      </c>
      <c r="K14" s="10" t="s">
        <v>145</v>
      </c>
      <c r="L14" s="10" t="s">
        <v>146</v>
      </c>
      <c r="M14" s="11" t="s">
        <v>147</v>
      </c>
      <c r="N14" s="11" t="s">
        <v>148</v>
      </c>
      <c r="O14" s="11" t="s">
        <v>638</v>
      </c>
      <c r="P14" s="11" t="s">
        <v>639</v>
      </c>
    </row>
    <row r="15" spans="1:16" ht="44.1" customHeight="1">
      <c r="A15" s="10" t="s">
        <v>149</v>
      </c>
      <c r="B15" s="10" t="s">
        <v>71</v>
      </c>
      <c r="C15" s="10" t="s">
        <v>72</v>
      </c>
      <c r="D15" s="10" t="s">
        <v>640</v>
      </c>
      <c r="E15" s="10" t="s">
        <v>641</v>
      </c>
      <c r="F15" s="10" t="s">
        <v>104</v>
      </c>
      <c r="G15" s="10" t="s">
        <v>642</v>
      </c>
      <c r="H15" s="10">
        <v>1</v>
      </c>
      <c r="I15" s="17">
        <v>89.19</v>
      </c>
      <c r="J15" s="17">
        <f t="shared" si="0"/>
        <v>89.19</v>
      </c>
      <c r="K15" s="10" t="s">
        <v>643</v>
      </c>
      <c r="L15" s="10" t="s">
        <v>644</v>
      </c>
      <c r="M15" s="11" t="s">
        <v>645</v>
      </c>
      <c r="N15" s="11" t="s">
        <v>646</v>
      </c>
      <c r="O15" s="11" t="s">
        <v>647</v>
      </c>
      <c r="P15" s="11" t="s">
        <v>648</v>
      </c>
    </row>
    <row r="16" spans="1:16" ht="44.1" customHeight="1">
      <c r="A16" s="10" t="s">
        <v>150</v>
      </c>
      <c r="B16" s="10" t="s">
        <v>71</v>
      </c>
      <c r="C16" s="10" t="s">
        <v>72</v>
      </c>
      <c r="D16" s="10" t="s">
        <v>151</v>
      </c>
      <c r="E16" s="10" t="s">
        <v>152</v>
      </c>
      <c r="F16" s="10" t="s">
        <v>153</v>
      </c>
      <c r="G16" s="10" t="s">
        <v>154</v>
      </c>
      <c r="H16" s="10">
        <v>1</v>
      </c>
      <c r="I16" s="17">
        <v>287.93</v>
      </c>
      <c r="J16" s="17">
        <f t="shared" si="0"/>
        <v>287.93</v>
      </c>
      <c r="K16" s="10" t="s">
        <v>155</v>
      </c>
      <c r="L16" s="10" t="s">
        <v>156</v>
      </c>
      <c r="M16" s="11" t="s">
        <v>157</v>
      </c>
      <c r="N16" s="11" t="s">
        <v>158</v>
      </c>
      <c r="O16" s="11" t="s">
        <v>649</v>
      </c>
      <c r="P16" s="11" t="s">
        <v>650</v>
      </c>
    </row>
    <row r="17" spans="1:16" ht="44.1" customHeight="1">
      <c r="A17" s="12" t="s">
        <v>159</v>
      </c>
      <c r="B17" s="12" t="s">
        <v>160</v>
      </c>
      <c r="C17" s="12" t="s">
        <v>161</v>
      </c>
      <c r="D17" s="12" t="s">
        <v>162</v>
      </c>
      <c r="E17" s="12" t="s">
        <v>163</v>
      </c>
      <c r="F17" s="12" t="s">
        <v>164</v>
      </c>
      <c r="G17" s="12"/>
      <c r="H17" s="12">
        <v>3</v>
      </c>
      <c r="I17" s="18"/>
      <c r="J17" s="18"/>
      <c r="K17" s="12" t="s">
        <v>165</v>
      </c>
      <c r="L17" s="12" t="s">
        <v>30</v>
      </c>
      <c r="M17" s="13" t="s">
        <v>166</v>
      </c>
      <c r="N17" s="13"/>
      <c r="O17" s="13" t="s">
        <v>30</v>
      </c>
      <c r="P17" s="13" t="s">
        <v>167</v>
      </c>
    </row>
    <row r="18" spans="1:16" ht="44.1" customHeight="1">
      <c r="A18" s="12" t="s">
        <v>168</v>
      </c>
      <c r="B18" s="12" t="s">
        <v>160</v>
      </c>
      <c r="C18" s="12" t="s">
        <v>161</v>
      </c>
      <c r="D18" s="12" t="s">
        <v>169</v>
      </c>
      <c r="E18" s="12" t="s">
        <v>170</v>
      </c>
      <c r="F18" s="12" t="s">
        <v>164</v>
      </c>
      <c r="G18" s="12"/>
      <c r="H18" s="12">
        <v>1</v>
      </c>
      <c r="I18" s="18"/>
      <c r="J18" s="18"/>
      <c r="K18" s="12" t="s">
        <v>165</v>
      </c>
      <c r="L18" s="12" t="s">
        <v>30</v>
      </c>
      <c r="M18" s="13" t="s">
        <v>166</v>
      </c>
      <c r="N18" s="13"/>
      <c r="O18" s="13" t="s">
        <v>30</v>
      </c>
      <c r="P18" s="13" t="s">
        <v>171</v>
      </c>
    </row>
    <row r="19" spans="1:16" ht="44.1" customHeight="1">
      <c r="A19" s="12" t="s">
        <v>172</v>
      </c>
      <c r="B19" s="12" t="s">
        <v>160</v>
      </c>
      <c r="C19" s="12" t="s">
        <v>161</v>
      </c>
      <c r="D19" s="12" t="s">
        <v>173</v>
      </c>
      <c r="E19" s="12" t="s">
        <v>174</v>
      </c>
      <c r="F19" s="12" t="s">
        <v>164</v>
      </c>
      <c r="G19" s="12"/>
      <c r="H19" s="12">
        <v>3</v>
      </c>
      <c r="I19" s="18"/>
      <c r="J19" s="18"/>
      <c r="K19" s="12" t="s">
        <v>165</v>
      </c>
      <c r="L19" s="12" t="s">
        <v>30</v>
      </c>
      <c r="M19" s="13" t="s">
        <v>166</v>
      </c>
      <c r="N19" s="13"/>
      <c r="O19" s="13" t="s">
        <v>30</v>
      </c>
      <c r="P19" s="13" t="s">
        <v>175</v>
      </c>
    </row>
    <row r="20" spans="1:16" ht="44.1" customHeight="1">
      <c r="A20" s="12" t="s">
        <v>176</v>
      </c>
      <c r="B20" s="12" t="s">
        <v>160</v>
      </c>
      <c r="C20" s="12" t="s">
        <v>161</v>
      </c>
      <c r="D20" s="12" t="s">
        <v>177</v>
      </c>
      <c r="E20" s="12" t="s">
        <v>178</v>
      </c>
      <c r="F20" s="12" t="s">
        <v>166</v>
      </c>
      <c r="G20" s="12"/>
      <c r="H20" s="12">
        <v>1</v>
      </c>
      <c r="I20" s="18"/>
      <c r="J20" s="18"/>
      <c r="K20" s="12" t="s">
        <v>179</v>
      </c>
      <c r="L20" s="12" t="s">
        <v>180</v>
      </c>
      <c r="M20" s="13" t="s">
        <v>166</v>
      </c>
      <c r="N20" s="13"/>
      <c r="O20" s="13" t="s">
        <v>181</v>
      </c>
      <c r="P20" s="13" t="s">
        <v>182</v>
      </c>
    </row>
    <row r="21" spans="1:16" ht="44.1" customHeight="1">
      <c r="A21" s="12" t="s">
        <v>183</v>
      </c>
      <c r="B21" s="12" t="s">
        <v>160</v>
      </c>
      <c r="C21" s="12" t="s">
        <v>161</v>
      </c>
      <c r="D21" s="12" t="s">
        <v>184</v>
      </c>
      <c r="E21" s="12" t="s">
        <v>185</v>
      </c>
      <c r="F21" s="12" t="s">
        <v>166</v>
      </c>
      <c r="G21" s="12"/>
      <c r="H21" s="12"/>
      <c r="I21" s="18"/>
      <c r="J21" s="18"/>
      <c r="K21" s="12" t="s">
        <v>179</v>
      </c>
      <c r="L21" s="12" t="s">
        <v>186</v>
      </c>
      <c r="M21" s="13" t="s">
        <v>166</v>
      </c>
      <c r="N21" s="13"/>
      <c r="O21" s="13" t="s">
        <v>187</v>
      </c>
      <c r="P21" s="13" t="s">
        <v>188</v>
      </c>
    </row>
    <row r="22" spans="1:16" ht="44.1" customHeight="1">
      <c r="A22" s="14" t="s">
        <v>189</v>
      </c>
      <c r="B22" s="14" t="s">
        <v>190</v>
      </c>
      <c r="C22" s="14" t="s">
        <v>191</v>
      </c>
      <c r="D22" s="14" t="s">
        <v>192</v>
      </c>
      <c r="E22" s="14" t="s">
        <v>651</v>
      </c>
      <c r="F22" s="14" t="s">
        <v>193</v>
      </c>
      <c r="G22" s="14"/>
      <c r="H22" s="14"/>
      <c r="I22" s="19"/>
      <c r="J22" s="19"/>
      <c r="K22" s="14" t="s">
        <v>652</v>
      </c>
      <c r="L22" s="14" t="s">
        <v>653</v>
      </c>
      <c r="M22" s="15" t="s">
        <v>166</v>
      </c>
      <c r="N22" s="15"/>
      <c r="O22" s="15" t="s">
        <v>194</v>
      </c>
      <c r="P22" s="15" t="s">
        <v>654</v>
      </c>
    </row>
    <row r="23" spans="1:16" ht="44.1" customHeight="1">
      <c r="A23" s="14" t="s">
        <v>195</v>
      </c>
      <c r="B23" s="14" t="s">
        <v>190</v>
      </c>
      <c r="C23" s="14" t="s">
        <v>191</v>
      </c>
      <c r="D23" s="14" t="s">
        <v>196</v>
      </c>
      <c r="E23" s="14" t="s">
        <v>651</v>
      </c>
      <c r="F23" s="14" t="s">
        <v>193</v>
      </c>
      <c r="G23" s="14"/>
      <c r="H23" s="14"/>
      <c r="I23" s="19"/>
      <c r="J23" s="19"/>
      <c r="K23" s="14" t="s">
        <v>652</v>
      </c>
      <c r="L23" s="14" t="s">
        <v>653</v>
      </c>
      <c r="M23" s="15" t="s">
        <v>166</v>
      </c>
      <c r="N23" s="15"/>
      <c r="O23" s="15" t="s">
        <v>194</v>
      </c>
      <c r="P23" s="15" t="s">
        <v>655</v>
      </c>
    </row>
    <row r="24" spans="1:16" ht="44.1" customHeight="1">
      <c r="A24" s="14" t="s">
        <v>197</v>
      </c>
      <c r="B24" s="14" t="s">
        <v>190</v>
      </c>
      <c r="C24" s="14" t="s">
        <v>191</v>
      </c>
      <c r="D24" s="14" t="s">
        <v>198</v>
      </c>
      <c r="E24" s="14" t="s">
        <v>651</v>
      </c>
      <c r="F24" s="14" t="s">
        <v>193</v>
      </c>
      <c r="G24" s="14"/>
      <c r="H24" s="14"/>
      <c r="I24" s="19"/>
      <c r="J24" s="19"/>
      <c r="K24" s="14" t="s">
        <v>652</v>
      </c>
      <c r="L24" s="14" t="s">
        <v>653</v>
      </c>
      <c r="M24" s="15" t="s">
        <v>166</v>
      </c>
      <c r="N24" s="15"/>
      <c r="O24" s="15" t="s">
        <v>194</v>
      </c>
      <c r="P24" s="15" t="s">
        <v>656</v>
      </c>
    </row>
    <row r="25" spans="1:16" ht="44.1" customHeight="1">
      <c r="A25" s="14" t="s">
        <v>199</v>
      </c>
      <c r="B25" s="14" t="s">
        <v>190</v>
      </c>
      <c r="C25" s="14" t="s">
        <v>72</v>
      </c>
      <c r="D25" s="14" t="s">
        <v>200</v>
      </c>
      <c r="E25" s="14" t="s">
        <v>651</v>
      </c>
      <c r="F25" s="14" t="s">
        <v>193</v>
      </c>
      <c r="G25" s="14"/>
      <c r="H25" s="14"/>
      <c r="I25" s="19"/>
      <c r="J25" s="19"/>
      <c r="K25" s="14" t="s">
        <v>652</v>
      </c>
      <c r="L25" s="14" t="s">
        <v>653</v>
      </c>
      <c r="M25" s="15" t="s">
        <v>166</v>
      </c>
      <c r="N25" s="15"/>
      <c r="O25" s="15" t="s">
        <v>201</v>
      </c>
      <c r="P25" s="15" t="s">
        <v>657</v>
      </c>
    </row>
    <row r="26" spans="1:16" ht="44.1" customHeight="1">
      <c r="A26" s="14" t="s">
        <v>202</v>
      </c>
      <c r="B26" s="14" t="s">
        <v>658</v>
      </c>
      <c r="C26" s="14" t="s">
        <v>659</v>
      </c>
      <c r="D26" s="14" t="s">
        <v>203</v>
      </c>
      <c r="E26" s="14" t="s">
        <v>660</v>
      </c>
      <c r="F26" s="14" t="s">
        <v>193</v>
      </c>
      <c r="G26" s="14"/>
      <c r="H26" s="14"/>
      <c r="I26" s="19"/>
      <c r="J26" s="19"/>
      <c r="K26" s="14" t="s">
        <v>661</v>
      </c>
      <c r="L26" s="14" t="s">
        <v>662</v>
      </c>
      <c r="M26" s="15" t="s">
        <v>166</v>
      </c>
      <c r="N26" s="15"/>
      <c r="O26" s="15" t="s">
        <v>663</v>
      </c>
      <c r="P26" s="15" t="s">
        <v>664</v>
      </c>
    </row>
    <row r="27" spans="1:16" ht="44.1" customHeight="1">
      <c r="A27" s="6"/>
      <c r="B27" s="6"/>
      <c r="C27" s="6"/>
      <c r="D27" s="6"/>
      <c r="E27" s="6"/>
      <c r="F27" s="6"/>
      <c r="G27" s="6"/>
      <c r="H27" s="6"/>
      <c r="I27" s="19"/>
      <c r="J27" s="19"/>
      <c r="K27" s="6"/>
      <c r="L27" s="6"/>
    </row>
    <row r="28" spans="1:16">
      <c r="A28" t="s">
        <v>665</v>
      </c>
      <c r="I28" s="20"/>
      <c r="J28" s="20">
        <f>SUM(J5:J16)</f>
        <v>6543.96</v>
      </c>
    </row>
    <row r="29" spans="1:16" ht="45.95" customHeight="1">
      <c r="A29" s="43" t="s">
        <v>666</v>
      </c>
      <c r="B29" s="43"/>
      <c r="C29" s="43"/>
      <c r="D29" s="43"/>
      <c r="E29" s="43"/>
      <c r="F29" s="43"/>
      <c r="G29" s="43"/>
      <c r="H29" s="43"/>
      <c r="I29" s="43"/>
      <c r="J29" s="43"/>
      <c r="K29" s="43"/>
      <c r="L29" s="44"/>
    </row>
    <row r="30" spans="1:16" ht="45.95" customHeight="1">
      <c r="A30" s="45" t="s">
        <v>667</v>
      </c>
      <c r="B30" s="45" t="s">
        <v>668</v>
      </c>
      <c r="C30" s="45"/>
      <c r="D30" s="45"/>
      <c r="E30" s="45"/>
      <c r="F30" s="45"/>
      <c r="G30" s="45"/>
      <c r="H30" s="45"/>
      <c r="I30" s="45"/>
      <c r="J30" s="45"/>
      <c r="K30" s="45"/>
      <c r="L30" s="46"/>
    </row>
  </sheetData>
  <mergeCells count="4">
    <mergeCell ref="A29:L29"/>
    <mergeCell ref="A30:L30"/>
    <mergeCell ref="A1:P1"/>
    <mergeCell ref="A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
  <sheetViews>
    <sheetView workbookViewId="0"/>
  </sheetViews>
  <sheetFormatPr defaultRowHeight="14.25"/>
  <cols>
    <col min="1" max="1" width="10" customWidth="1"/>
    <col min="2" max="2" width="26" customWidth="1"/>
    <col min="3" max="3" width="24" customWidth="1"/>
    <col min="4" max="4" width="32" customWidth="1"/>
    <col min="5" max="5" width="38" customWidth="1"/>
    <col min="6" max="6" width="14" customWidth="1"/>
    <col min="7" max="7" width="18" customWidth="1"/>
    <col min="8" max="8" width="20" customWidth="1"/>
    <col min="9" max="9" width="30" customWidth="1"/>
    <col min="10" max="10" width="68" customWidth="1"/>
    <col min="11" max="11" width="48" customWidth="1"/>
  </cols>
  <sheetData>
    <row r="1" spans="1:11" ht="27.95" customHeight="1">
      <c r="A1" s="47" t="s">
        <v>669</v>
      </c>
      <c r="B1" s="47"/>
      <c r="C1" s="47"/>
      <c r="D1" s="47"/>
      <c r="E1" s="47"/>
      <c r="F1" s="47"/>
      <c r="G1" s="47"/>
      <c r="H1" s="47"/>
      <c r="I1" s="47"/>
      <c r="J1" s="47"/>
      <c r="K1" s="47"/>
    </row>
    <row r="2" spans="1:11" ht="33.950000000000003" customHeight="1">
      <c r="A2" s="48" t="s">
        <v>670</v>
      </c>
      <c r="B2" s="49"/>
      <c r="C2" s="49"/>
      <c r="D2" s="49"/>
      <c r="E2" s="49"/>
      <c r="F2" s="49"/>
      <c r="G2" s="49"/>
      <c r="H2" s="49"/>
      <c r="I2" s="49"/>
      <c r="J2" s="49"/>
      <c r="K2" s="49"/>
    </row>
    <row r="3" spans="1:11">
      <c r="A3" s="9"/>
      <c r="B3" s="9"/>
      <c r="C3" s="9"/>
      <c r="D3" s="9"/>
      <c r="E3" s="9"/>
      <c r="F3" s="9"/>
      <c r="G3" s="9"/>
      <c r="H3" s="9"/>
      <c r="I3" s="9"/>
      <c r="J3" s="9"/>
      <c r="K3" s="9"/>
    </row>
    <row r="4" spans="1:11" ht="30" customHeight="1">
      <c r="A4" s="8" t="s">
        <v>204</v>
      </c>
      <c r="B4" s="8" t="s">
        <v>205</v>
      </c>
      <c r="C4" s="8" t="s">
        <v>206</v>
      </c>
      <c r="D4" s="8" t="s">
        <v>207</v>
      </c>
      <c r="E4" s="8" t="s">
        <v>208</v>
      </c>
      <c r="F4" s="8" t="s">
        <v>209</v>
      </c>
      <c r="G4" s="8" t="s">
        <v>210</v>
      </c>
      <c r="H4" s="8" t="s">
        <v>211</v>
      </c>
      <c r="I4" s="8" t="s">
        <v>212</v>
      </c>
      <c r="J4" s="8" t="s">
        <v>213</v>
      </c>
      <c r="K4" s="8" t="s">
        <v>214</v>
      </c>
    </row>
    <row r="5" spans="1:11" ht="60" customHeight="1">
      <c r="A5" s="2" t="s">
        <v>215</v>
      </c>
      <c r="B5" s="2" t="s">
        <v>216</v>
      </c>
      <c r="C5" s="2" t="s">
        <v>217</v>
      </c>
      <c r="D5" s="2" t="s">
        <v>218</v>
      </c>
      <c r="E5" s="2" t="s">
        <v>219</v>
      </c>
      <c r="F5" s="2">
        <v>2</v>
      </c>
      <c r="G5" s="2">
        <v>1</v>
      </c>
      <c r="H5" s="2" t="s">
        <v>220</v>
      </c>
      <c r="I5" s="3" t="s">
        <v>221</v>
      </c>
      <c r="J5" s="2" t="s">
        <v>671</v>
      </c>
      <c r="K5" s="2" t="s">
        <v>222</v>
      </c>
    </row>
    <row r="6" spans="1:11" ht="48" customHeight="1">
      <c r="A6" s="2" t="s">
        <v>223</v>
      </c>
      <c r="B6" s="2" t="s">
        <v>224</v>
      </c>
      <c r="C6" s="2" t="s">
        <v>225</v>
      </c>
      <c r="D6" s="2" t="s">
        <v>226</v>
      </c>
      <c r="E6" s="2" t="s">
        <v>227</v>
      </c>
      <c r="F6" s="2">
        <v>2</v>
      </c>
      <c r="G6" s="2">
        <v>1</v>
      </c>
      <c r="H6" s="2" t="s">
        <v>220</v>
      </c>
      <c r="I6" s="5" t="s">
        <v>228</v>
      </c>
      <c r="J6" s="2" t="s">
        <v>672</v>
      </c>
      <c r="K6" s="2" t="s">
        <v>86</v>
      </c>
    </row>
    <row r="7" spans="1:11" ht="117.95" customHeight="1">
      <c r="A7" s="2" t="s">
        <v>229</v>
      </c>
      <c r="B7" s="2" t="s">
        <v>230</v>
      </c>
      <c r="C7" s="2" t="s">
        <v>231</v>
      </c>
      <c r="D7" s="2" t="s">
        <v>673</v>
      </c>
      <c r="E7" s="2" t="s">
        <v>674</v>
      </c>
      <c r="F7" s="2">
        <v>2</v>
      </c>
      <c r="G7" s="2">
        <v>1</v>
      </c>
      <c r="H7" s="2" t="s">
        <v>220</v>
      </c>
      <c r="I7" s="5" t="s">
        <v>675</v>
      </c>
      <c r="J7" s="2" t="s">
        <v>676</v>
      </c>
      <c r="K7" s="2" t="s">
        <v>621</v>
      </c>
    </row>
    <row r="8" spans="1:11" ht="48" customHeight="1">
      <c r="A8" s="2" t="s">
        <v>232</v>
      </c>
      <c r="B8" s="2" t="s">
        <v>233</v>
      </c>
      <c r="C8" s="2" t="s">
        <v>234</v>
      </c>
      <c r="D8" s="2" t="s">
        <v>677</v>
      </c>
      <c r="E8" s="2" t="s">
        <v>678</v>
      </c>
      <c r="F8" s="2">
        <v>5</v>
      </c>
      <c r="G8" s="2">
        <v>1</v>
      </c>
      <c r="H8" s="2" t="s">
        <v>220</v>
      </c>
      <c r="I8" s="5" t="s">
        <v>679</v>
      </c>
      <c r="J8" s="2" t="s">
        <v>680</v>
      </c>
      <c r="K8" s="2" t="s">
        <v>681</v>
      </c>
    </row>
    <row r="9" spans="1:11" ht="14.25" customHeight="1">
      <c r="A9" s="2" t="s">
        <v>235</v>
      </c>
      <c r="B9" s="2" t="s">
        <v>236</v>
      </c>
      <c r="C9" s="2" t="s">
        <v>234</v>
      </c>
      <c r="D9" s="2" t="s">
        <v>237</v>
      </c>
      <c r="E9" s="2" t="s">
        <v>238</v>
      </c>
      <c r="F9" s="2">
        <v>1</v>
      </c>
      <c r="G9" s="2">
        <v>1</v>
      </c>
      <c r="H9" s="2" t="s">
        <v>220</v>
      </c>
      <c r="I9" s="3" t="s">
        <v>239</v>
      </c>
      <c r="J9" s="2" t="s">
        <v>240</v>
      </c>
      <c r="K9" s="2" t="s">
        <v>241</v>
      </c>
    </row>
    <row r="10" spans="1:11" ht="36" customHeight="1">
      <c r="A10" s="2" t="s">
        <v>242</v>
      </c>
      <c r="B10" s="2" t="s">
        <v>243</v>
      </c>
      <c r="C10" s="2" t="s">
        <v>244</v>
      </c>
      <c r="D10" s="2" t="s">
        <v>245</v>
      </c>
      <c r="E10" s="2" t="s">
        <v>246</v>
      </c>
      <c r="F10" s="2">
        <v>1</v>
      </c>
      <c r="G10" s="2">
        <v>0</v>
      </c>
      <c r="H10" s="2" t="s">
        <v>220</v>
      </c>
      <c r="I10" s="3" t="s">
        <v>247</v>
      </c>
      <c r="J10" s="2" t="s">
        <v>682</v>
      </c>
      <c r="K10" s="2" t="s">
        <v>248</v>
      </c>
    </row>
    <row r="11" spans="1:11" ht="48" customHeight="1">
      <c r="A11" s="2" t="s">
        <v>249</v>
      </c>
      <c r="B11" s="2" t="s">
        <v>250</v>
      </c>
      <c r="C11" s="2" t="s">
        <v>244</v>
      </c>
      <c r="D11" s="2" t="s">
        <v>251</v>
      </c>
      <c r="E11" s="2" t="s">
        <v>252</v>
      </c>
      <c r="F11" s="2">
        <v>2</v>
      </c>
      <c r="G11" s="2">
        <v>0</v>
      </c>
      <c r="H11" s="2">
        <v>1</v>
      </c>
      <c r="I11" s="3" t="s">
        <v>247</v>
      </c>
      <c r="J11" s="2" t="s">
        <v>683</v>
      </c>
      <c r="K11" s="2" t="s">
        <v>253</v>
      </c>
    </row>
    <row r="12" spans="1:11" ht="96" customHeight="1">
      <c r="A12" s="2" t="s">
        <v>254</v>
      </c>
      <c r="B12" s="2" t="s">
        <v>255</v>
      </c>
      <c r="C12" s="2" t="s">
        <v>234</v>
      </c>
      <c r="D12" s="2" t="s">
        <v>220</v>
      </c>
      <c r="E12" s="2" t="s">
        <v>256</v>
      </c>
      <c r="F12" s="2">
        <v>3</v>
      </c>
      <c r="G12" s="2">
        <v>1</v>
      </c>
      <c r="H12" s="2" t="s">
        <v>220</v>
      </c>
      <c r="I12" s="4" t="s">
        <v>247</v>
      </c>
      <c r="J12" s="2" t="s">
        <v>684</v>
      </c>
      <c r="K12" s="2" t="s">
        <v>241</v>
      </c>
    </row>
    <row r="13" spans="1:11" ht="14.25" customHeight="1">
      <c r="A13" s="2" t="s">
        <v>257</v>
      </c>
      <c r="B13" s="2" t="s">
        <v>258</v>
      </c>
      <c r="C13" s="2" t="s">
        <v>259</v>
      </c>
      <c r="D13" s="2" t="s">
        <v>260</v>
      </c>
      <c r="E13" s="2" t="s">
        <v>261</v>
      </c>
      <c r="F13" s="2">
        <v>2</v>
      </c>
      <c r="G13" s="2">
        <v>1</v>
      </c>
      <c r="H13" s="2">
        <v>1</v>
      </c>
      <c r="I13" s="3" t="s">
        <v>262</v>
      </c>
      <c r="J13" s="2" t="s">
        <v>263</v>
      </c>
      <c r="K13" s="2" t="s">
        <v>264</v>
      </c>
    </row>
    <row r="14" spans="1:11" ht="42" customHeight="1">
      <c r="A14" s="2" t="s">
        <v>265</v>
      </c>
      <c r="B14" s="2" t="s">
        <v>266</v>
      </c>
      <c r="C14" s="2" t="s">
        <v>267</v>
      </c>
      <c r="D14" s="2" t="s">
        <v>268</v>
      </c>
      <c r="E14" s="2" t="s">
        <v>269</v>
      </c>
      <c r="F14" s="2">
        <v>2</v>
      </c>
      <c r="G14" s="2">
        <v>1</v>
      </c>
      <c r="H14" s="2">
        <v>1</v>
      </c>
      <c r="I14" s="3" t="s">
        <v>262</v>
      </c>
      <c r="J14" s="2" t="s">
        <v>270</v>
      </c>
      <c r="K14" s="2" t="s">
        <v>271</v>
      </c>
    </row>
    <row r="15" spans="1:11" ht="42" customHeight="1">
      <c r="A15" s="2" t="s">
        <v>272</v>
      </c>
      <c r="B15" s="2" t="s">
        <v>273</v>
      </c>
      <c r="C15" s="2" t="s">
        <v>274</v>
      </c>
      <c r="D15" s="2" t="s">
        <v>275</v>
      </c>
      <c r="E15" s="2" t="s">
        <v>276</v>
      </c>
      <c r="F15" s="2">
        <v>2</v>
      </c>
      <c r="G15" s="2">
        <v>1</v>
      </c>
      <c r="H15" s="2">
        <v>1</v>
      </c>
      <c r="I15" s="3" t="s">
        <v>247</v>
      </c>
      <c r="J15" s="2" t="s">
        <v>277</v>
      </c>
      <c r="K15" s="2" t="s">
        <v>278</v>
      </c>
    </row>
    <row r="16" spans="1:11" ht="42" customHeight="1">
      <c r="A16" s="2" t="s">
        <v>279</v>
      </c>
      <c r="B16" s="2" t="s">
        <v>280</v>
      </c>
      <c r="C16" s="2" t="s">
        <v>281</v>
      </c>
      <c r="D16" s="2" t="s">
        <v>685</v>
      </c>
      <c r="E16" s="2" t="s">
        <v>686</v>
      </c>
      <c r="F16" s="2">
        <v>0</v>
      </c>
      <c r="G16" s="2">
        <v>0</v>
      </c>
      <c r="H16" s="2">
        <v>0</v>
      </c>
      <c r="I16" s="6" t="s">
        <v>687</v>
      </c>
      <c r="J16" s="2" t="s">
        <v>688</v>
      </c>
      <c r="K16" s="2" t="s">
        <v>621</v>
      </c>
    </row>
    <row r="17" spans="1:11" ht="42" customHeight="1">
      <c r="A17" s="2" t="s">
        <v>282</v>
      </c>
      <c r="B17" s="2" t="s">
        <v>273</v>
      </c>
      <c r="C17" s="2" t="s">
        <v>283</v>
      </c>
      <c r="D17" s="2" t="s">
        <v>284</v>
      </c>
      <c r="E17" s="2" t="s">
        <v>285</v>
      </c>
      <c r="F17" s="2">
        <v>1</v>
      </c>
      <c r="G17" s="2">
        <v>1</v>
      </c>
      <c r="H17" s="2">
        <v>1</v>
      </c>
      <c r="I17" s="4" t="s">
        <v>286</v>
      </c>
      <c r="J17" s="2" t="s">
        <v>287</v>
      </c>
      <c r="K17" s="2" t="s">
        <v>241</v>
      </c>
    </row>
    <row r="18" spans="1:11" ht="42" customHeight="1">
      <c r="A18" s="2" t="s">
        <v>288</v>
      </c>
      <c r="B18" s="2" t="s">
        <v>289</v>
      </c>
      <c r="C18" s="2" t="s">
        <v>234</v>
      </c>
      <c r="D18" s="2" t="s">
        <v>290</v>
      </c>
      <c r="E18" s="2" t="s">
        <v>291</v>
      </c>
      <c r="F18" s="2">
        <v>2</v>
      </c>
      <c r="G18" s="2">
        <v>1</v>
      </c>
      <c r="H18" s="2">
        <v>1</v>
      </c>
      <c r="I18" s="3" t="s">
        <v>247</v>
      </c>
      <c r="J18" s="2" t="s">
        <v>689</v>
      </c>
      <c r="K18" s="2" t="s">
        <v>253</v>
      </c>
    </row>
    <row r="19" spans="1:11" ht="42" customHeight="1">
      <c r="A19" s="2" t="s">
        <v>292</v>
      </c>
      <c r="B19" s="2" t="s">
        <v>293</v>
      </c>
      <c r="C19" s="2" t="s">
        <v>234</v>
      </c>
      <c r="D19" s="2" t="s">
        <v>294</v>
      </c>
      <c r="E19" s="2" t="s">
        <v>295</v>
      </c>
      <c r="F19" s="2">
        <v>2</v>
      </c>
      <c r="G19" s="2">
        <v>2</v>
      </c>
      <c r="H19" s="2">
        <v>2</v>
      </c>
      <c r="I19" s="3" t="s">
        <v>247</v>
      </c>
      <c r="J19" s="2" t="s">
        <v>296</v>
      </c>
      <c r="K19" s="2" t="s">
        <v>253</v>
      </c>
    </row>
    <row r="20" spans="1:11" ht="42" customHeight="1">
      <c r="A20" s="2" t="s">
        <v>297</v>
      </c>
      <c r="B20" s="2" t="s">
        <v>298</v>
      </c>
      <c r="C20" s="2" t="s">
        <v>234</v>
      </c>
      <c r="D20" s="2" t="s">
        <v>294</v>
      </c>
      <c r="E20" s="2" t="s">
        <v>299</v>
      </c>
      <c r="F20" s="2">
        <v>4</v>
      </c>
      <c r="G20" s="2">
        <v>4</v>
      </c>
      <c r="H20" s="2">
        <v>4</v>
      </c>
      <c r="I20" s="3" t="s">
        <v>247</v>
      </c>
      <c r="J20" s="2" t="s">
        <v>296</v>
      </c>
      <c r="K20" s="2" t="s">
        <v>253</v>
      </c>
    </row>
    <row r="21" spans="1:11" ht="42" customHeight="1">
      <c r="A21" s="2" t="s">
        <v>300</v>
      </c>
      <c r="B21" s="2" t="s">
        <v>301</v>
      </c>
      <c r="C21" s="2" t="s">
        <v>234</v>
      </c>
      <c r="D21" s="2" t="s">
        <v>302</v>
      </c>
      <c r="E21" s="2" t="s">
        <v>303</v>
      </c>
      <c r="F21" s="2">
        <v>2</v>
      </c>
      <c r="G21" s="2">
        <v>2</v>
      </c>
      <c r="H21" s="2">
        <v>2</v>
      </c>
      <c r="I21" s="3" t="s">
        <v>262</v>
      </c>
      <c r="J21" s="2" t="s">
        <v>690</v>
      </c>
      <c r="K21" s="2" t="s">
        <v>304</v>
      </c>
    </row>
    <row r="22" spans="1:11" ht="42" customHeight="1">
      <c r="A22" s="2" t="s">
        <v>305</v>
      </c>
      <c r="B22" s="2" t="s">
        <v>306</v>
      </c>
      <c r="C22" s="2" t="s">
        <v>234</v>
      </c>
      <c r="D22" s="2" t="s">
        <v>307</v>
      </c>
      <c r="E22" s="2" t="s">
        <v>308</v>
      </c>
      <c r="F22" s="2">
        <v>2</v>
      </c>
      <c r="G22" s="2">
        <v>2</v>
      </c>
      <c r="H22" s="2">
        <v>2</v>
      </c>
      <c r="I22" s="4" t="s">
        <v>309</v>
      </c>
      <c r="J22" s="2" t="s">
        <v>310</v>
      </c>
      <c r="K22" s="2" t="s">
        <v>311</v>
      </c>
    </row>
    <row r="23" spans="1:11" ht="42" customHeight="1">
      <c r="A23" s="2" t="s">
        <v>312</v>
      </c>
      <c r="B23" s="2" t="s">
        <v>313</v>
      </c>
      <c r="C23" s="2" t="s">
        <v>234</v>
      </c>
      <c r="D23" s="2" t="s">
        <v>314</v>
      </c>
      <c r="E23" s="2" t="s">
        <v>315</v>
      </c>
      <c r="F23" s="2">
        <v>3</v>
      </c>
      <c r="G23" s="2">
        <v>3</v>
      </c>
      <c r="H23" s="2">
        <v>3</v>
      </c>
      <c r="I23" s="4" t="s">
        <v>309</v>
      </c>
      <c r="J23" s="2" t="s">
        <v>316</v>
      </c>
      <c r="K23" s="2" t="s">
        <v>311</v>
      </c>
    </row>
    <row r="24" spans="1:11" ht="42" customHeight="1">
      <c r="A24" s="2" t="s">
        <v>317</v>
      </c>
      <c r="B24" s="2" t="s">
        <v>318</v>
      </c>
      <c r="C24" s="2" t="s">
        <v>234</v>
      </c>
      <c r="D24" s="2" t="s">
        <v>319</v>
      </c>
      <c r="E24" s="2" t="s">
        <v>320</v>
      </c>
      <c r="F24" s="2">
        <v>2</v>
      </c>
      <c r="G24" s="2">
        <v>2</v>
      </c>
      <c r="H24" s="2">
        <v>2</v>
      </c>
      <c r="I24" s="3" t="s">
        <v>321</v>
      </c>
      <c r="J24" s="2" t="s">
        <v>691</v>
      </c>
      <c r="K24" s="2" t="s">
        <v>322</v>
      </c>
    </row>
    <row r="25" spans="1:11" ht="42" customHeight="1">
      <c r="A25" s="2" t="s">
        <v>323</v>
      </c>
      <c r="B25" s="2" t="s">
        <v>318</v>
      </c>
      <c r="C25" s="2" t="s">
        <v>234</v>
      </c>
      <c r="D25" s="2" t="s">
        <v>324</v>
      </c>
      <c r="E25" s="2" t="s">
        <v>325</v>
      </c>
      <c r="F25" s="2">
        <v>2</v>
      </c>
      <c r="G25" s="2">
        <v>2</v>
      </c>
      <c r="H25" s="2">
        <v>2</v>
      </c>
      <c r="I25" s="3" t="s">
        <v>321</v>
      </c>
      <c r="J25" s="2" t="s">
        <v>692</v>
      </c>
      <c r="K25" s="2" t="s">
        <v>322</v>
      </c>
    </row>
    <row r="26" spans="1:11" ht="42" customHeight="1">
      <c r="A26" s="2" t="s">
        <v>326</v>
      </c>
      <c r="B26" s="2" t="s">
        <v>318</v>
      </c>
      <c r="C26" s="2" t="s">
        <v>234</v>
      </c>
      <c r="D26" s="2" t="s">
        <v>327</v>
      </c>
      <c r="E26" s="2" t="s">
        <v>328</v>
      </c>
      <c r="F26" s="2">
        <v>2</v>
      </c>
      <c r="G26" s="2">
        <v>2</v>
      </c>
      <c r="H26" s="2">
        <v>2</v>
      </c>
      <c r="I26" s="3" t="s">
        <v>321</v>
      </c>
      <c r="J26" s="2" t="s">
        <v>693</v>
      </c>
      <c r="K26" s="2" t="s">
        <v>322</v>
      </c>
    </row>
    <row r="27" spans="1:11" ht="42" customHeight="1">
      <c r="A27" s="2" t="s">
        <v>329</v>
      </c>
      <c r="B27" s="2" t="s">
        <v>330</v>
      </c>
      <c r="C27" s="2" t="s">
        <v>234</v>
      </c>
      <c r="D27" s="2" t="s">
        <v>331</v>
      </c>
      <c r="E27" s="2" t="s">
        <v>332</v>
      </c>
      <c r="F27" s="2">
        <v>1</v>
      </c>
      <c r="G27" s="2">
        <v>1</v>
      </c>
      <c r="H27" s="2">
        <v>1</v>
      </c>
      <c r="I27" s="4" t="s">
        <v>247</v>
      </c>
      <c r="J27" s="2" t="s">
        <v>333</v>
      </c>
      <c r="K27" s="2" t="s">
        <v>248</v>
      </c>
    </row>
    <row r="28" spans="1:11" ht="42" customHeight="1">
      <c r="A28" s="2" t="s">
        <v>334</v>
      </c>
      <c r="B28" s="2" t="s">
        <v>335</v>
      </c>
      <c r="C28" s="2" t="s">
        <v>234</v>
      </c>
      <c r="D28" s="2" t="s">
        <v>331</v>
      </c>
      <c r="E28" s="2" t="s">
        <v>336</v>
      </c>
      <c r="F28" s="2">
        <v>1</v>
      </c>
      <c r="G28" s="2">
        <v>1</v>
      </c>
      <c r="H28" s="2">
        <v>1</v>
      </c>
      <c r="I28" s="4" t="s">
        <v>247</v>
      </c>
      <c r="J28" s="2" t="s">
        <v>333</v>
      </c>
      <c r="K28" s="2" t="s">
        <v>248</v>
      </c>
    </row>
    <row r="29" spans="1:11" ht="42" customHeight="1">
      <c r="A29" s="2" t="s">
        <v>337</v>
      </c>
      <c r="B29" s="2" t="s">
        <v>338</v>
      </c>
      <c r="C29" s="2" t="s">
        <v>234</v>
      </c>
      <c r="D29" s="2" t="s">
        <v>331</v>
      </c>
      <c r="E29" s="2" t="s">
        <v>339</v>
      </c>
      <c r="F29" s="2">
        <v>1</v>
      </c>
      <c r="G29" s="2">
        <v>1</v>
      </c>
      <c r="H29" s="2">
        <v>1</v>
      </c>
      <c r="I29" s="4" t="s">
        <v>247</v>
      </c>
      <c r="J29" s="2" t="s">
        <v>333</v>
      </c>
      <c r="K29" s="2" t="s">
        <v>248</v>
      </c>
    </row>
    <row r="30" spans="1:11" ht="42" customHeight="1">
      <c r="A30" s="2" t="s">
        <v>340</v>
      </c>
      <c r="B30" s="2" t="s">
        <v>341</v>
      </c>
      <c r="C30" s="2" t="s">
        <v>234</v>
      </c>
      <c r="D30" s="2" t="s">
        <v>331</v>
      </c>
      <c r="E30" s="2" t="s">
        <v>342</v>
      </c>
      <c r="F30" s="2">
        <v>1</v>
      </c>
      <c r="G30" s="2">
        <v>1</v>
      </c>
      <c r="H30" s="2">
        <v>1</v>
      </c>
      <c r="I30" s="4" t="s">
        <v>247</v>
      </c>
      <c r="J30" s="2" t="s">
        <v>333</v>
      </c>
      <c r="K30" s="2" t="s">
        <v>248</v>
      </c>
    </row>
    <row r="31" spans="1:11" ht="42" customHeight="1">
      <c r="A31" s="2" t="s">
        <v>343</v>
      </c>
      <c r="B31" s="2" t="s">
        <v>273</v>
      </c>
      <c r="C31" s="2" t="s">
        <v>344</v>
      </c>
      <c r="D31" s="2" t="s">
        <v>345</v>
      </c>
      <c r="E31" s="2" t="s">
        <v>346</v>
      </c>
      <c r="F31" s="2">
        <v>1</v>
      </c>
      <c r="G31" s="2">
        <v>1</v>
      </c>
      <c r="H31" s="2">
        <v>1</v>
      </c>
      <c r="I31" s="3" t="s">
        <v>247</v>
      </c>
      <c r="J31" s="2" t="s">
        <v>347</v>
      </c>
      <c r="K31" s="2" t="s">
        <v>348</v>
      </c>
    </row>
    <row r="32" spans="1:11" ht="85.5">
      <c r="A32" s="9" t="s">
        <v>694</v>
      </c>
      <c r="B32" s="9" t="s">
        <v>695</v>
      </c>
      <c r="C32" s="9" t="s">
        <v>696</v>
      </c>
      <c r="D32" s="9" t="s">
        <v>697</v>
      </c>
      <c r="E32" s="9" t="s">
        <v>698</v>
      </c>
      <c r="F32" s="9">
        <v>0</v>
      </c>
      <c r="G32" s="9">
        <v>0</v>
      </c>
      <c r="H32" s="9">
        <v>0</v>
      </c>
      <c r="I32" s="9" t="s">
        <v>699</v>
      </c>
      <c r="J32" s="9" t="s">
        <v>700</v>
      </c>
      <c r="K32" s="9" t="s">
        <v>701</v>
      </c>
    </row>
    <row r="33" spans="1:11" ht="15">
      <c r="A33" s="50" t="s">
        <v>702</v>
      </c>
      <c r="B33" s="50"/>
      <c r="C33" s="50"/>
      <c r="D33" s="50"/>
      <c r="E33" s="50"/>
      <c r="F33" s="50"/>
      <c r="G33" s="50"/>
      <c r="H33" s="50"/>
      <c r="I33" s="50"/>
      <c r="J33" s="50"/>
      <c r="K33" s="50"/>
    </row>
  </sheetData>
  <mergeCells count="3">
    <mergeCell ref="A1:K1"/>
    <mergeCell ref="A2:K2"/>
    <mergeCell ref="A33:K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25"/>
  <cols>
    <col min="1" max="1" width="16" customWidth="1"/>
    <col min="2" max="3" width="18" customWidth="1"/>
    <col min="4" max="4" width="40" customWidth="1"/>
    <col min="5" max="5" width="20" customWidth="1"/>
    <col min="6" max="6" width="34" customWidth="1"/>
    <col min="7" max="7" width="56" customWidth="1"/>
    <col min="8" max="8" width="26" customWidth="1"/>
    <col min="9" max="9" width="14" customWidth="1"/>
    <col min="10" max="10" width="20" customWidth="1"/>
    <col min="11" max="11" width="66" customWidth="1"/>
  </cols>
  <sheetData>
    <row r="1" spans="1:11" ht="27.95" customHeight="1">
      <c r="A1" s="47" t="s">
        <v>703</v>
      </c>
      <c r="B1" s="47"/>
      <c r="C1" s="47"/>
      <c r="D1" s="47"/>
      <c r="E1" s="47"/>
      <c r="F1" s="47"/>
      <c r="G1" s="47"/>
      <c r="H1" s="47"/>
      <c r="I1" s="47"/>
      <c r="J1" s="47"/>
      <c r="K1" s="47"/>
    </row>
    <row r="2" spans="1:11" ht="33.950000000000003" customHeight="1">
      <c r="A2" s="48" t="s">
        <v>704</v>
      </c>
      <c r="B2" s="49" t="s">
        <v>705</v>
      </c>
      <c r="C2" s="49"/>
      <c r="D2" s="49"/>
      <c r="E2" s="49"/>
      <c r="F2" s="49"/>
      <c r="G2" s="49"/>
      <c r="H2" s="49"/>
      <c r="I2" s="49"/>
      <c r="J2" s="49"/>
      <c r="K2" s="49"/>
    </row>
    <row r="3" spans="1:11">
      <c r="A3" s="9"/>
      <c r="B3" s="9"/>
      <c r="C3" s="9"/>
      <c r="D3" s="9"/>
      <c r="E3" s="9"/>
      <c r="F3" s="9"/>
      <c r="G3" s="9"/>
      <c r="H3" s="9"/>
      <c r="I3" s="9"/>
      <c r="J3" s="9"/>
      <c r="K3" s="9"/>
    </row>
    <row r="4" spans="1:11" ht="30" customHeight="1">
      <c r="A4" s="8" t="s">
        <v>349</v>
      </c>
      <c r="B4" s="8" t="s">
        <v>350</v>
      </c>
      <c r="C4" s="8" t="s">
        <v>206</v>
      </c>
      <c r="D4" s="8" t="s">
        <v>207</v>
      </c>
      <c r="E4" s="8" t="s">
        <v>351</v>
      </c>
      <c r="F4" s="8" t="s">
        <v>352</v>
      </c>
      <c r="G4" s="8" t="s">
        <v>214</v>
      </c>
      <c r="H4" s="8" t="s">
        <v>353</v>
      </c>
      <c r="I4" s="8" t="s">
        <v>354</v>
      </c>
      <c r="J4" s="8" t="s">
        <v>355</v>
      </c>
      <c r="K4" s="8" t="s">
        <v>356</v>
      </c>
    </row>
    <row r="5" spans="1:11" ht="39.950000000000003" customHeight="1">
      <c r="A5" s="2" t="s">
        <v>357</v>
      </c>
      <c r="B5" s="2" t="s">
        <v>358</v>
      </c>
      <c r="C5" s="2" t="s">
        <v>225</v>
      </c>
      <c r="D5" s="2" t="s">
        <v>226</v>
      </c>
      <c r="E5" s="2" t="s">
        <v>359</v>
      </c>
      <c r="F5" s="2" t="s">
        <v>360</v>
      </c>
      <c r="G5" s="2" t="s">
        <v>86</v>
      </c>
      <c r="H5" s="2"/>
      <c r="I5" s="2"/>
      <c r="J5" s="2"/>
      <c r="K5" s="5" t="s">
        <v>361</v>
      </c>
    </row>
    <row r="6" spans="1:11" ht="39.950000000000003" customHeight="1">
      <c r="A6" s="2"/>
      <c r="B6" s="2" t="s">
        <v>362</v>
      </c>
      <c r="C6" s="2" t="s">
        <v>363</v>
      </c>
      <c r="D6" s="2" t="s">
        <v>364</v>
      </c>
      <c r="E6" s="2" t="s">
        <v>359</v>
      </c>
      <c r="F6" s="2" t="s">
        <v>360</v>
      </c>
      <c r="G6" s="2" t="s">
        <v>365</v>
      </c>
      <c r="H6" s="2"/>
      <c r="I6" s="2"/>
      <c r="J6" s="2"/>
      <c r="K6" s="5" t="s">
        <v>366</v>
      </c>
    </row>
    <row r="7" spans="1:11" ht="57">
      <c r="A7" s="9" t="s">
        <v>367</v>
      </c>
      <c r="B7" s="9" t="s">
        <v>368</v>
      </c>
      <c r="C7" s="9" t="s">
        <v>231</v>
      </c>
      <c r="D7" s="9" t="s">
        <v>706</v>
      </c>
      <c r="E7" s="9" t="s">
        <v>369</v>
      </c>
      <c r="F7" s="9" t="s">
        <v>360</v>
      </c>
      <c r="G7" s="9" t="s">
        <v>707</v>
      </c>
      <c r="H7" s="9"/>
      <c r="I7" s="9"/>
      <c r="J7" s="9"/>
      <c r="K7" s="9" t="s">
        <v>708</v>
      </c>
    </row>
    <row r="8" spans="1:11" ht="50.1" customHeight="1">
      <c r="A8" s="50" t="s">
        <v>370</v>
      </c>
      <c r="B8" s="50"/>
      <c r="C8" s="50"/>
      <c r="D8" s="50" t="s">
        <v>371</v>
      </c>
      <c r="E8" s="50"/>
      <c r="F8" s="50"/>
      <c r="G8" s="50"/>
      <c r="H8" s="50"/>
      <c r="I8" s="50"/>
      <c r="J8" s="50"/>
      <c r="K8" s="50"/>
    </row>
    <row r="9" spans="1:11">
      <c r="A9" s="9"/>
      <c r="B9" s="9"/>
      <c r="C9" s="9"/>
      <c r="D9" s="9"/>
      <c r="E9" s="9"/>
      <c r="F9" s="9"/>
      <c r="G9" s="9"/>
      <c r="H9" s="9"/>
      <c r="I9" s="9"/>
      <c r="J9" s="9"/>
      <c r="K9" s="9"/>
    </row>
    <row r="10" spans="1:11" ht="15">
      <c r="A10" s="51" t="s">
        <v>372</v>
      </c>
      <c r="B10" s="51"/>
      <c r="C10" s="51"/>
      <c r="D10" s="51"/>
      <c r="E10" s="51"/>
      <c r="F10" s="51"/>
      <c r="G10" s="51"/>
      <c r="H10" s="51"/>
      <c r="I10" s="51"/>
      <c r="J10" s="51"/>
      <c r="K10" s="51"/>
    </row>
    <row r="11" spans="1:11" ht="42" customHeight="1">
      <c r="A11" s="52" t="s">
        <v>373</v>
      </c>
      <c r="B11" s="52"/>
      <c r="C11" s="52"/>
      <c r="D11" s="52"/>
      <c r="E11" s="52"/>
      <c r="F11" s="52"/>
      <c r="G11" s="52"/>
      <c r="H11" s="52"/>
      <c r="I11" s="52"/>
      <c r="J11" s="52"/>
      <c r="K11" s="52"/>
    </row>
    <row r="12" spans="1:11" ht="42" customHeight="1">
      <c r="A12" s="52"/>
      <c r="B12" s="52"/>
      <c r="C12" s="52"/>
      <c r="D12" s="52"/>
      <c r="E12" s="52"/>
      <c r="F12" s="52"/>
      <c r="G12" s="52"/>
      <c r="H12" s="52"/>
      <c r="I12" s="52"/>
      <c r="J12" s="52"/>
      <c r="K12" s="52"/>
    </row>
  </sheetData>
  <mergeCells count="5">
    <mergeCell ref="A1:K1"/>
    <mergeCell ref="A2:K2"/>
    <mergeCell ref="A8:K8"/>
    <mergeCell ref="A10:K10"/>
    <mergeCell ref="A11:K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7"/>
  <sheetViews>
    <sheetView workbookViewId="0"/>
  </sheetViews>
  <sheetFormatPr defaultRowHeight="14.25"/>
  <cols>
    <col min="1" max="1" width="15" customWidth="1"/>
    <col min="2" max="2" width="20" customWidth="1"/>
    <col min="3" max="3" width="24" customWidth="1"/>
    <col min="4" max="4" width="34" customWidth="1"/>
    <col min="5" max="5" width="42" customWidth="1"/>
    <col min="6" max="6" width="68" customWidth="1"/>
    <col min="7" max="7" width="62" customWidth="1"/>
    <col min="8" max="8" width="27" customWidth="1"/>
    <col min="9" max="9" width="28" customWidth="1"/>
    <col min="10" max="10" width="24" customWidth="1"/>
  </cols>
  <sheetData>
    <row r="1" spans="1:10" ht="27.95" customHeight="1">
      <c r="A1" s="47" t="s">
        <v>709</v>
      </c>
      <c r="B1" s="47"/>
      <c r="C1" s="47"/>
      <c r="D1" s="47"/>
      <c r="E1" s="47"/>
      <c r="F1" s="47"/>
      <c r="G1" s="47"/>
      <c r="H1" s="47"/>
      <c r="I1" s="47"/>
      <c r="J1" s="47"/>
    </row>
    <row r="2" spans="1:10" ht="33.950000000000003" customHeight="1">
      <c r="A2" s="48" t="s">
        <v>710</v>
      </c>
      <c r="B2" s="49"/>
      <c r="C2" s="49"/>
      <c r="D2" s="49"/>
      <c r="E2" s="49"/>
      <c r="F2" s="49"/>
      <c r="G2" s="49"/>
      <c r="H2" s="49"/>
      <c r="I2" s="49"/>
      <c r="J2" s="49"/>
    </row>
    <row r="3" spans="1:10">
      <c r="A3" s="9"/>
      <c r="B3" s="9"/>
      <c r="C3" s="9"/>
      <c r="D3" s="9"/>
      <c r="E3" s="9"/>
      <c r="F3" s="9"/>
      <c r="G3" s="9"/>
      <c r="H3" s="9"/>
      <c r="I3" s="9"/>
      <c r="J3" s="9"/>
    </row>
    <row r="4" spans="1:10" ht="30" customHeight="1">
      <c r="A4" s="8" t="s">
        <v>374</v>
      </c>
      <c r="B4" s="8" t="s">
        <v>375</v>
      </c>
      <c r="C4" s="8" t="s">
        <v>376</v>
      </c>
      <c r="D4" s="8" t="s">
        <v>377</v>
      </c>
      <c r="E4" s="8" t="s">
        <v>378</v>
      </c>
      <c r="F4" s="8" t="s">
        <v>379</v>
      </c>
      <c r="G4" s="8" t="s">
        <v>380</v>
      </c>
      <c r="H4" s="8" t="s">
        <v>381</v>
      </c>
      <c r="I4" s="8" t="s">
        <v>212</v>
      </c>
      <c r="J4" s="8" t="s">
        <v>382</v>
      </c>
    </row>
    <row r="5" spans="1:10" ht="48" customHeight="1">
      <c r="A5" s="2" t="s">
        <v>383</v>
      </c>
      <c r="B5" s="3" t="s">
        <v>384</v>
      </c>
      <c r="C5" s="2" t="s">
        <v>385</v>
      </c>
      <c r="D5" s="2" t="s">
        <v>386</v>
      </c>
      <c r="E5" s="2" t="s">
        <v>387</v>
      </c>
      <c r="F5" s="2" t="s">
        <v>388</v>
      </c>
      <c r="G5" s="2" t="s">
        <v>389</v>
      </c>
      <c r="H5" s="2" t="s">
        <v>390</v>
      </c>
      <c r="I5" s="7" t="s">
        <v>391</v>
      </c>
      <c r="J5" s="2" t="s">
        <v>392</v>
      </c>
    </row>
    <row r="6" spans="1:10" ht="48" customHeight="1">
      <c r="A6" s="2" t="s">
        <v>393</v>
      </c>
      <c r="B6" s="3" t="s">
        <v>394</v>
      </c>
      <c r="C6" s="2" t="s">
        <v>395</v>
      </c>
      <c r="D6" s="2" t="s">
        <v>396</v>
      </c>
      <c r="E6" s="2" t="s">
        <v>397</v>
      </c>
      <c r="F6" s="2" t="s">
        <v>398</v>
      </c>
      <c r="G6" s="2" t="s">
        <v>399</v>
      </c>
      <c r="H6" s="2" t="s">
        <v>400</v>
      </c>
      <c r="I6" s="7" t="s">
        <v>391</v>
      </c>
      <c r="J6" s="2" t="s">
        <v>401</v>
      </c>
    </row>
    <row r="7" spans="1:10" ht="48" customHeight="1">
      <c r="A7" s="2" t="s">
        <v>402</v>
      </c>
      <c r="B7" s="3" t="s">
        <v>403</v>
      </c>
      <c r="C7" s="2" t="s">
        <v>395</v>
      </c>
      <c r="D7" s="2" t="s">
        <v>404</v>
      </c>
      <c r="E7" s="2" t="s">
        <v>405</v>
      </c>
      <c r="F7" s="2" t="s">
        <v>711</v>
      </c>
      <c r="G7" s="2" t="s">
        <v>712</v>
      </c>
      <c r="H7" s="2" t="s">
        <v>406</v>
      </c>
      <c r="I7" s="7" t="s">
        <v>391</v>
      </c>
      <c r="J7" s="2" t="s">
        <v>407</v>
      </c>
    </row>
    <row r="8" spans="1:10" ht="48" customHeight="1">
      <c r="A8" s="2" t="s">
        <v>408</v>
      </c>
      <c r="B8" s="5" t="s">
        <v>409</v>
      </c>
      <c r="C8" s="2" t="s">
        <v>410</v>
      </c>
      <c r="D8" s="2" t="s">
        <v>411</v>
      </c>
      <c r="E8" s="2" t="s">
        <v>412</v>
      </c>
      <c r="F8" s="2" t="s">
        <v>413</v>
      </c>
      <c r="G8" s="2" t="s">
        <v>414</v>
      </c>
      <c r="H8" s="2" t="s">
        <v>400</v>
      </c>
      <c r="I8" s="7" t="s">
        <v>391</v>
      </c>
      <c r="J8" s="2" t="s">
        <v>415</v>
      </c>
    </row>
    <row r="9" spans="1:10" ht="48" customHeight="1">
      <c r="A9" s="2" t="s">
        <v>416</v>
      </c>
      <c r="B9" s="5" t="s">
        <v>417</v>
      </c>
      <c r="C9" s="2" t="s">
        <v>418</v>
      </c>
      <c r="D9" s="2" t="s">
        <v>419</v>
      </c>
      <c r="E9" s="2" t="s">
        <v>420</v>
      </c>
      <c r="F9" s="2" t="s">
        <v>421</v>
      </c>
      <c r="G9" s="2" t="s">
        <v>422</v>
      </c>
      <c r="H9" s="2" t="s">
        <v>400</v>
      </c>
      <c r="I9" s="7" t="s">
        <v>391</v>
      </c>
      <c r="J9" s="2" t="s">
        <v>423</v>
      </c>
    </row>
    <row r="10" spans="1:10" ht="48" customHeight="1">
      <c r="A10" s="2" t="s">
        <v>424</v>
      </c>
      <c r="B10" s="5" t="s">
        <v>409</v>
      </c>
      <c r="C10" s="2" t="s">
        <v>410</v>
      </c>
      <c r="D10" s="2" t="s">
        <v>425</v>
      </c>
      <c r="E10" s="2" t="s">
        <v>426</v>
      </c>
      <c r="F10" s="2" t="s">
        <v>427</v>
      </c>
      <c r="G10" s="2" t="s">
        <v>428</v>
      </c>
      <c r="H10" s="2" t="s">
        <v>429</v>
      </c>
      <c r="I10" s="7" t="s">
        <v>391</v>
      </c>
      <c r="J10" s="2" t="s">
        <v>430</v>
      </c>
    </row>
    <row r="11" spans="1:10" ht="48" customHeight="1">
      <c r="A11" s="2" t="s">
        <v>431</v>
      </c>
      <c r="B11" s="5" t="s">
        <v>432</v>
      </c>
      <c r="C11" s="2" t="s">
        <v>433</v>
      </c>
      <c r="D11" s="2" t="s">
        <v>434</v>
      </c>
      <c r="E11" s="2" t="s">
        <v>435</v>
      </c>
      <c r="F11" s="2" t="s">
        <v>436</v>
      </c>
      <c r="G11" s="2" t="s">
        <v>437</v>
      </c>
      <c r="H11" s="2" t="s">
        <v>429</v>
      </c>
      <c r="I11" s="7" t="s">
        <v>391</v>
      </c>
      <c r="J11" s="2" t="s">
        <v>438</v>
      </c>
    </row>
    <row r="12" spans="1:10" ht="48" customHeight="1">
      <c r="A12" s="2" t="s">
        <v>439</v>
      </c>
      <c r="B12" s="5" t="s">
        <v>440</v>
      </c>
      <c r="C12" s="2" t="s">
        <v>441</v>
      </c>
      <c r="D12" s="2" t="s">
        <v>442</v>
      </c>
      <c r="E12" s="2" t="s">
        <v>435</v>
      </c>
      <c r="F12" s="2" t="s">
        <v>443</v>
      </c>
      <c r="G12" s="2" t="s">
        <v>444</v>
      </c>
      <c r="H12" s="2" t="s">
        <v>429</v>
      </c>
      <c r="I12" s="7" t="s">
        <v>391</v>
      </c>
      <c r="J12" s="2" t="s">
        <v>438</v>
      </c>
    </row>
    <row r="13" spans="1:10" ht="48" customHeight="1">
      <c r="A13" s="2" t="s">
        <v>445</v>
      </c>
      <c r="B13" s="5" t="s">
        <v>446</v>
      </c>
      <c r="C13" s="2" t="s">
        <v>447</v>
      </c>
      <c r="D13" s="2" t="s">
        <v>448</v>
      </c>
      <c r="E13" s="2" t="s">
        <v>449</v>
      </c>
      <c r="F13" s="2" t="s">
        <v>450</v>
      </c>
      <c r="G13" s="2" t="s">
        <v>451</v>
      </c>
      <c r="H13" s="2" t="s">
        <v>429</v>
      </c>
      <c r="I13" s="7" t="s">
        <v>391</v>
      </c>
      <c r="J13" s="2" t="s">
        <v>438</v>
      </c>
    </row>
    <row r="14" spans="1:10" ht="48" customHeight="1">
      <c r="A14" s="2" t="s">
        <v>452</v>
      </c>
      <c r="B14" s="5" t="s">
        <v>453</v>
      </c>
      <c r="C14" s="2" t="s">
        <v>454</v>
      </c>
      <c r="D14" s="2" t="s">
        <v>455</v>
      </c>
      <c r="E14" s="2" t="s">
        <v>456</v>
      </c>
      <c r="F14" s="2" t="s">
        <v>713</v>
      </c>
      <c r="G14" s="2" t="s">
        <v>714</v>
      </c>
      <c r="H14" s="2" t="s">
        <v>457</v>
      </c>
      <c r="I14" s="7" t="s">
        <v>391</v>
      </c>
      <c r="J14" s="2" t="s">
        <v>430</v>
      </c>
    </row>
    <row r="15" spans="1:10" ht="60" customHeight="1">
      <c r="A15" s="2" t="s">
        <v>458</v>
      </c>
      <c r="B15" s="5" t="s">
        <v>459</v>
      </c>
      <c r="C15" s="2" t="s">
        <v>460</v>
      </c>
      <c r="D15" s="2" t="s">
        <v>461</v>
      </c>
      <c r="E15" s="2" t="s">
        <v>462</v>
      </c>
      <c r="F15" s="2" t="s">
        <v>715</v>
      </c>
      <c r="G15" s="2" t="s">
        <v>716</v>
      </c>
      <c r="H15" s="2" t="s">
        <v>463</v>
      </c>
      <c r="I15" s="7" t="s">
        <v>391</v>
      </c>
      <c r="J15" s="2" t="s">
        <v>464</v>
      </c>
    </row>
    <row r="16" spans="1:10" ht="48" customHeight="1">
      <c r="A16" s="2" t="s">
        <v>465</v>
      </c>
      <c r="B16" s="5" t="s">
        <v>409</v>
      </c>
      <c r="C16" s="2" t="s">
        <v>410</v>
      </c>
      <c r="D16" s="2" t="s">
        <v>466</v>
      </c>
      <c r="E16" s="2" t="s">
        <v>467</v>
      </c>
      <c r="F16" s="2" t="s">
        <v>468</v>
      </c>
      <c r="G16" s="2" t="s">
        <v>469</v>
      </c>
      <c r="H16" s="2" t="s">
        <v>400</v>
      </c>
      <c r="I16" s="7" t="s">
        <v>391</v>
      </c>
      <c r="J16" s="2" t="s">
        <v>438</v>
      </c>
    </row>
    <row r="17" spans="1:10" ht="48" customHeight="1">
      <c r="A17" s="2" t="s">
        <v>470</v>
      </c>
      <c r="B17" s="5" t="s">
        <v>409</v>
      </c>
      <c r="C17" s="2" t="s">
        <v>410</v>
      </c>
      <c r="D17" s="2" t="s">
        <v>471</v>
      </c>
      <c r="E17" s="2" t="s">
        <v>472</v>
      </c>
      <c r="F17" s="2" t="s">
        <v>473</v>
      </c>
      <c r="G17" s="2" t="s">
        <v>474</v>
      </c>
      <c r="H17" s="2" t="s">
        <v>400</v>
      </c>
      <c r="I17" s="7" t="s">
        <v>391</v>
      </c>
      <c r="J17" s="2" t="s">
        <v>438</v>
      </c>
    </row>
    <row r="18" spans="1:10" ht="48" customHeight="1">
      <c r="A18" s="2" t="s">
        <v>475</v>
      </c>
      <c r="B18" s="4" t="s">
        <v>30</v>
      </c>
      <c r="C18" s="2" t="s">
        <v>476</v>
      </c>
      <c r="D18" s="2" t="s">
        <v>477</v>
      </c>
      <c r="E18" s="2" t="s">
        <v>478</v>
      </c>
      <c r="F18" s="2" t="s">
        <v>479</v>
      </c>
      <c r="G18" s="2" t="s">
        <v>480</v>
      </c>
      <c r="H18" s="2" t="s">
        <v>481</v>
      </c>
      <c r="I18" s="7" t="s">
        <v>391</v>
      </c>
      <c r="J18" s="2" t="s">
        <v>482</v>
      </c>
    </row>
    <row r="19" spans="1:10" ht="48" customHeight="1">
      <c r="A19" s="2" t="s">
        <v>483</v>
      </c>
      <c r="B19" s="4" t="s">
        <v>484</v>
      </c>
      <c r="C19" s="2" t="s">
        <v>485</v>
      </c>
      <c r="D19" s="2" t="s">
        <v>486</v>
      </c>
      <c r="E19" s="2" t="s">
        <v>487</v>
      </c>
      <c r="F19" s="2" t="s">
        <v>488</v>
      </c>
      <c r="G19" s="2" t="s">
        <v>489</v>
      </c>
      <c r="H19" s="2" t="s">
        <v>481</v>
      </c>
      <c r="I19" s="7" t="s">
        <v>391</v>
      </c>
      <c r="J19" s="2" t="s">
        <v>490</v>
      </c>
    </row>
    <row r="20" spans="1:10" ht="48" customHeight="1">
      <c r="A20" s="2" t="s">
        <v>491</v>
      </c>
      <c r="B20" s="4" t="s">
        <v>484</v>
      </c>
      <c r="C20" s="2" t="s">
        <v>485</v>
      </c>
      <c r="D20" s="2" t="s">
        <v>492</v>
      </c>
      <c r="E20" s="2" t="s">
        <v>493</v>
      </c>
      <c r="F20" s="2" t="s">
        <v>494</v>
      </c>
      <c r="G20" s="2" t="s">
        <v>489</v>
      </c>
      <c r="H20" s="2" t="s">
        <v>406</v>
      </c>
      <c r="I20" s="7" t="s">
        <v>391</v>
      </c>
      <c r="J20" s="2" t="s">
        <v>490</v>
      </c>
    </row>
    <row r="21" spans="1:10" ht="48" customHeight="1">
      <c r="A21" s="2" t="s">
        <v>495</v>
      </c>
      <c r="B21" s="4" t="s">
        <v>484</v>
      </c>
      <c r="C21" s="2" t="s">
        <v>485</v>
      </c>
      <c r="D21" s="2" t="s">
        <v>496</v>
      </c>
      <c r="E21" s="2" t="s">
        <v>497</v>
      </c>
      <c r="F21" s="2" t="s">
        <v>498</v>
      </c>
      <c r="G21" s="2" t="s">
        <v>489</v>
      </c>
      <c r="H21" s="2" t="s">
        <v>499</v>
      </c>
      <c r="I21" s="7" t="s">
        <v>391</v>
      </c>
      <c r="J21" s="2" t="s">
        <v>490</v>
      </c>
    </row>
    <row r="22" spans="1:10" ht="48" customHeight="1">
      <c r="A22" s="2" t="s">
        <v>500</v>
      </c>
      <c r="B22" s="4" t="s">
        <v>501</v>
      </c>
      <c r="C22" s="2" t="s">
        <v>502</v>
      </c>
      <c r="D22" s="2" t="s">
        <v>503</v>
      </c>
      <c r="E22" s="2" t="s">
        <v>504</v>
      </c>
      <c r="F22" s="2" t="s">
        <v>505</v>
      </c>
      <c r="G22" s="2" t="s">
        <v>506</v>
      </c>
      <c r="H22" s="2" t="s">
        <v>507</v>
      </c>
      <c r="I22" s="7" t="s">
        <v>391</v>
      </c>
      <c r="J22" s="2" t="s">
        <v>508</v>
      </c>
    </row>
    <row r="23" spans="1:10" ht="120" customHeight="1">
      <c r="A23" s="2" t="s">
        <v>509</v>
      </c>
      <c r="B23" s="4" t="s">
        <v>717</v>
      </c>
      <c r="C23" s="2" t="s">
        <v>718</v>
      </c>
      <c r="D23" s="2" t="s">
        <v>719</v>
      </c>
      <c r="E23" s="2" t="s">
        <v>720</v>
      </c>
      <c r="F23" s="2" t="s">
        <v>721</v>
      </c>
      <c r="G23" s="2" t="s">
        <v>722</v>
      </c>
      <c r="H23" s="2" t="s">
        <v>510</v>
      </c>
      <c r="I23" s="7" t="s">
        <v>391</v>
      </c>
      <c r="J23" s="2" t="s">
        <v>723</v>
      </c>
    </row>
    <row r="24" spans="1:10" ht="48" customHeight="1">
      <c r="A24" s="2" t="s">
        <v>511</v>
      </c>
      <c r="B24" s="4" t="s">
        <v>30</v>
      </c>
      <c r="C24" s="2" t="s">
        <v>476</v>
      </c>
      <c r="D24" s="2" t="s">
        <v>724</v>
      </c>
      <c r="E24" s="2" t="s">
        <v>725</v>
      </c>
      <c r="F24" s="2" t="s">
        <v>726</v>
      </c>
      <c r="G24" s="2" t="s">
        <v>727</v>
      </c>
      <c r="H24" s="2" t="s">
        <v>406</v>
      </c>
      <c r="I24" s="7" t="s">
        <v>391</v>
      </c>
      <c r="J24" s="2" t="s">
        <v>728</v>
      </c>
    </row>
    <row r="25" spans="1:10" ht="48" customHeight="1">
      <c r="A25" s="2" t="s">
        <v>512</v>
      </c>
      <c r="B25" s="4" t="s">
        <v>30</v>
      </c>
      <c r="C25" s="2" t="s">
        <v>476</v>
      </c>
      <c r="D25" s="2" t="s">
        <v>729</v>
      </c>
      <c r="E25" s="2" t="s">
        <v>730</v>
      </c>
      <c r="F25" s="2" t="s">
        <v>731</v>
      </c>
      <c r="G25" s="2" t="s">
        <v>732</v>
      </c>
      <c r="H25" s="2" t="s">
        <v>400</v>
      </c>
      <c r="I25" s="7" t="s">
        <v>391</v>
      </c>
      <c r="J25" s="2" t="s">
        <v>733</v>
      </c>
    </row>
    <row r="26" spans="1:10" ht="48" customHeight="1">
      <c r="A26" s="2" t="s">
        <v>513</v>
      </c>
      <c r="B26" s="6" t="s">
        <v>30</v>
      </c>
      <c r="C26" s="2" t="s">
        <v>514</v>
      </c>
      <c r="D26" s="2" t="s">
        <v>515</v>
      </c>
      <c r="E26" s="2" t="s">
        <v>516</v>
      </c>
      <c r="F26" s="2" t="s">
        <v>517</v>
      </c>
      <c r="G26" s="2" t="s">
        <v>518</v>
      </c>
      <c r="H26" s="2" t="s">
        <v>519</v>
      </c>
      <c r="I26" s="7" t="s">
        <v>391</v>
      </c>
      <c r="J26" s="2" t="s">
        <v>520</v>
      </c>
    </row>
    <row r="27" spans="1:10">
      <c r="A27" s="9" t="s">
        <v>734</v>
      </c>
      <c r="B27" s="9" t="s">
        <v>735</v>
      </c>
      <c r="C27" s="9" t="s">
        <v>580</v>
      </c>
      <c r="D27" s="9" t="s">
        <v>736</v>
      </c>
      <c r="E27" s="9" t="s">
        <v>737</v>
      </c>
      <c r="F27" s="9" t="s">
        <v>738</v>
      </c>
      <c r="G27" s="9" t="s">
        <v>739</v>
      </c>
      <c r="H27" s="9" t="s">
        <v>740</v>
      </c>
      <c r="I27" s="9" t="s">
        <v>391</v>
      </c>
      <c r="J27" s="9" t="s">
        <v>741</v>
      </c>
    </row>
    <row r="28" spans="1:10" ht="68.099999999999994" customHeight="1">
      <c r="A28" s="29" t="s">
        <v>742</v>
      </c>
      <c r="B28" s="29" t="s">
        <v>743</v>
      </c>
      <c r="C28" s="29" t="s">
        <v>476</v>
      </c>
      <c r="D28" s="29" t="s">
        <v>744</v>
      </c>
      <c r="E28" s="29" t="s">
        <v>745</v>
      </c>
      <c r="F28" s="29" t="s">
        <v>746</v>
      </c>
      <c r="G28" s="29" t="s">
        <v>747</v>
      </c>
      <c r="H28" s="29" t="s">
        <v>510</v>
      </c>
      <c r="I28" s="29" t="s">
        <v>748</v>
      </c>
      <c r="J28" s="29" t="s">
        <v>749</v>
      </c>
    </row>
    <row r="29" spans="1:10" ht="110.1" customHeight="1">
      <c r="A29" s="25" t="s">
        <v>750</v>
      </c>
      <c r="B29" s="25" t="s">
        <v>751</v>
      </c>
      <c r="C29" s="25" t="s">
        <v>752</v>
      </c>
      <c r="D29" s="25" t="s">
        <v>753</v>
      </c>
      <c r="E29" s="25" t="s">
        <v>754</v>
      </c>
      <c r="F29" s="25" t="s">
        <v>755</v>
      </c>
      <c r="G29" s="25" t="s">
        <v>756</v>
      </c>
      <c r="H29" s="25" t="s">
        <v>457</v>
      </c>
      <c r="I29" s="25" t="s">
        <v>757</v>
      </c>
      <c r="J29" s="25" t="s">
        <v>758</v>
      </c>
    </row>
    <row r="30" spans="1:10" ht="68.099999999999994" customHeight="1">
      <c r="A30" s="25" t="s">
        <v>759</v>
      </c>
      <c r="B30" s="25" t="s">
        <v>30</v>
      </c>
      <c r="C30" s="25" t="s">
        <v>476</v>
      </c>
      <c r="D30" s="25" t="s">
        <v>760</v>
      </c>
      <c r="E30" s="25" t="s">
        <v>761</v>
      </c>
      <c r="F30" s="25" t="s">
        <v>762</v>
      </c>
      <c r="G30" s="25" t="s">
        <v>763</v>
      </c>
      <c r="H30" s="25" t="s">
        <v>400</v>
      </c>
      <c r="I30" s="25" t="s">
        <v>764</v>
      </c>
      <c r="J30" s="25" t="s">
        <v>765</v>
      </c>
    </row>
    <row r="31" spans="1:10" ht="68.099999999999994" customHeight="1">
      <c r="A31" s="25" t="s">
        <v>766</v>
      </c>
      <c r="B31" s="25" t="s">
        <v>767</v>
      </c>
      <c r="C31" s="25" t="s">
        <v>768</v>
      </c>
      <c r="D31" s="25" t="s">
        <v>769</v>
      </c>
      <c r="E31" s="25" t="s">
        <v>770</v>
      </c>
      <c r="F31" s="25" t="s">
        <v>771</v>
      </c>
      <c r="G31" s="25" t="s">
        <v>772</v>
      </c>
      <c r="H31" s="25" t="s">
        <v>510</v>
      </c>
      <c r="I31" s="25" t="s">
        <v>773</v>
      </c>
      <c r="J31" s="25" t="s">
        <v>774</v>
      </c>
    </row>
    <row r="32" spans="1:10" ht="68.099999999999994" customHeight="1">
      <c r="A32" s="25" t="s">
        <v>775</v>
      </c>
      <c r="B32" s="25" t="s">
        <v>776</v>
      </c>
      <c r="C32" s="25" t="s">
        <v>777</v>
      </c>
      <c r="D32" s="25" t="s">
        <v>778</v>
      </c>
      <c r="E32" s="25" t="s">
        <v>779</v>
      </c>
      <c r="F32" s="25" t="s">
        <v>780</v>
      </c>
      <c r="G32" s="25" t="s">
        <v>781</v>
      </c>
      <c r="H32" s="25" t="s">
        <v>406</v>
      </c>
      <c r="I32" s="25" t="s">
        <v>782</v>
      </c>
      <c r="J32" s="25" t="s">
        <v>783</v>
      </c>
    </row>
    <row r="33" spans="1:10" ht="68.099999999999994" customHeight="1">
      <c r="A33" s="25" t="s">
        <v>784</v>
      </c>
      <c r="B33" s="25" t="s">
        <v>785</v>
      </c>
      <c r="C33" s="25" t="s">
        <v>777</v>
      </c>
      <c r="D33" s="25" t="s">
        <v>786</v>
      </c>
      <c r="E33" s="25" t="s">
        <v>787</v>
      </c>
      <c r="F33" s="25" t="s">
        <v>788</v>
      </c>
      <c r="G33" s="25" t="s">
        <v>789</v>
      </c>
      <c r="H33" s="25" t="s">
        <v>406</v>
      </c>
      <c r="I33" s="25" t="s">
        <v>782</v>
      </c>
      <c r="J33" s="25" t="s">
        <v>790</v>
      </c>
    </row>
    <row r="34" spans="1:10" ht="68.099999999999994" customHeight="1">
      <c r="A34" s="25" t="s">
        <v>791</v>
      </c>
      <c r="B34" s="25" t="s">
        <v>792</v>
      </c>
      <c r="C34" s="25" t="s">
        <v>793</v>
      </c>
      <c r="D34" s="25" t="s">
        <v>794</v>
      </c>
      <c r="E34" s="25" t="s">
        <v>795</v>
      </c>
      <c r="F34" s="25" t="s">
        <v>796</v>
      </c>
      <c r="G34" s="25" t="s">
        <v>797</v>
      </c>
      <c r="H34" s="25" t="s">
        <v>499</v>
      </c>
      <c r="I34" s="25" t="s">
        <v>391</v>
      </c>
      <c r="J34" s="25" t="s">
        <v>798</v>
      </c>
    </row>
    <row r="35" spans="1:10" ht="68.099999999999994" customHeight="1">
      <c r="A35" s="25" t="s">
        <v>799</v>
      </c>
      <c r="B35" s="25" t="s">
        <v>800</v>
      </c>
      <c r="C35" s="25" t="s">
        <v>801</v>
      </c>
      <c r="D35" s="25" t="s">
        <v>802</v>
      </c>
      <c r="E35" s="25" t="s">
        <v>803</v>
      </c>
      <c r="F35" s="25" t="s">
        <v>804</v>
      </c>
      <c r="G35" s="25" t="s">
        <v>805</v>
      </c>
      <c r="H35" s="25" t="s">
        <v>806</v>
      </c>
      <c r="I35" s="25" t="s">
        <v>807</v>
      </c>
      <c r="J35" s="25" t="s">
        <v>808</v>
      </c>
    </row>
    <row r="36" spans="1:10" ht="68.099999999999994" customHeight="1">
      <c r="A36" s="25" t="s">
        <v>809</v>
      </c>
      <c r="B36" s="25" t="s">
        <v>484</v>
      </c>
      <c r="C36" s="25" t="s">
        <v>485</v>
      </c>
      <c r="D36" s="25" t="s">
        <v>810</v>
      </c>
      <c r="E36" s="25" t="s">
        <v>811</v>
      </c>
      <c r="F36" s="25" t="s">
        <v>812</v>
      </c>
      <c r="G36" s="25" t="s">
        <v>813</v>
      </c>
      <c r="H36" s="25" t="s">
        <v>814</v>
      </c>
      <c r="I36" s="25" t="s">
        <v>391</v>
      </c>
      <c r="J36" s="25" t="s">
        <v>490</v>
      </c>
    </row>
    <row r="37" spans="1:10" ht="36" customHeight="1">
      <c r="A37" s="53" t="s">
        <v>815</v>
      </c>
      <c r="B37" s="53"/>
      <c r="C37" s="53"/>
      <c r="D37" s="53"/>
      <c r="E37" s="53"/>
      <c r="F37" s="53"/>
      <c r="G37" s="53"/>
      <c r="H37" s="53"/>
      <c r="I37" s="53"/>
      <c r="J37" s="53"/>
    </row>
  </sheetData>
  <mergeCells count="3">
    <mergeCell ref="A1:J1"/>
    <mergeCell ref="A2:J2"/>
    <mergeCell ref="A37:J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workbookViewId="0"/>
  </sheetViews>
  <sheetFormatPr defaultRowHeight="14.25"/>
  <cols>
    <col min="1" max="1" width="28" customWidth="1"/>
    <col min="2" max="2" width="38" customWidth="1"/>
    <col min="3" max="3" width="70" customWidth="1"/>
    <col min="4" max="4" width="30" customWidth="1"/>
    <col min="5" max="5" width="26" customWidth="1"/>
    <col min="6" max="6" width="52" customWidth="1"/>
    <col min="7" max="7" width="27" customWidth="1"/>
    <col min="8" max="8" width="50" customWidth="1"/>
  </cols>
  <sheetData>
    <row r="1" spans="1:8" ht="27.95" customHeight="1">
      <c r="A1" s="47" t="s">
        <v>816</v>
      </c>
      <c r="B1" s="47"/>
      <c r="C1" s="47"/>
      <c r="D1" s="47"/>
      <c r="E1" s="47"/>
      <c r="F1" s="47"/>
      <c r="G1" s="47"/>
      <c r="H1" s="47"/>
    </row>
    <row r="2" spans="1:8" ht="33.950000000000003" customHeight="1">
      <c r="A2" s="48" t="s">
        <v>817</v>
      </c>
      <c r="B2" s="49"/>
      <c r="C2" s="49"/>
      <c r="D2" s="49"/>
      <c r="E2" s="49"/>
      <c r="F2" s="49"/>
      <c r="G2" s="49"/>
      <c r="H2" s="49"/>
    </row>
    <row r="3" spans="1:8">
      <c r="A3" s="9"/>
      <c r="B3" s="9"/>
      <c r="C3" s="9"/>
      <c r="D3" s="9"/>
      <c r="E3" s="9"/>
      <c r="F3" s="9"/>
      <c r="G3" s="9"/>
      <c r="H3" s="9"/>
    </row>
    <row r="4" spans="1:8" ht="30" customHeight="1">
      <c r="A4" s="8" t="s">
        <v>205</v>
      </c>
      <c r="B4" s="8" t="s">
        <v>521</v>
      </c>
      <c r="C4" s="8" t="s">
        <v>522</v>
      </c>
      <c r="D4" s="8" t="s">
        <v>212</v>
      </c>
      <c r="E4" s="8" t="s">
        <v>523</v>
      </c>
      <c r="F4" s="8" t="s">
        <v>524</v>
      </c>
      <c r="G4" s="8" t="s">
        <v>525</v>
      </c>
      <c r="H4" s="8" t="s">
        <v>214</v>
      </c>
    </row>
    <row r="5" spans="1:8" ht="24" customHeight="1">
      <c r="A5" s="2" t="s">
        <v>526</v>
      </c>
      <c r="B5" s="2" t="s">
        <v>527</v>
      </c>
      <c r="C5" s="2" t="s">
        <v>528</v>
      </c>
      <c r="D5" s="5" t="s">
        <v>529</v>
      </c>
      <c r="E5" s="2" t="s">
        <v>530</v>
      </c>
      <c r="F5" s="2" t="s">
        <v>531</v>
      </c>
      <c r="G5" s="2" t="s">
        <v>532</v>
      </c>
      <c r="H5" s="2" t="s">
        <v>533</v>
      </c>
    </row>
    <row r="6" spans="1:8" ht="14.25" customHeight="1">
      <c r="A6" s="2" t="s">
        <v>233</v>
      </c>
      <c r="B6" s="2" t="s">
        <v>534</v>
      </c>
      <c r="C6" s="2" t="s">
        <v>535</v>
      </c>
      <c r="D6" s="5" t="s">
        <v>536</v>
      </c>
      <c r="E6" s="2" t="s">
        <v>537</v>
      </c>
      <c r="F6" s="2" t="s">
        <v>538</v>
      </c>
      <c r="G6" s="2" t="s">
        <v>539</v>
      </c>
      <c r="H6" s="2" t="s">
        <v>540</v>
      </c>
    </row>
    <row r="7" spans="1:8" ht="36" customHeight="1">
      <c r="A7" s="2" t="s">
        <v>541</v>
      </c>
      <c r="B7" s="2" t="s">
        <v>542</v>
      </c>
      <c r="C7" s="2" t="s">
        <v>818</v>
      </c>
      <c r="D7" s="4" t="s">
        <v>819</v>
      </c>
      <c r="E7" s="2" t="s">
        <v>543</v>
      </c>
      <c r="F7" s="2" t="s">
        <v>544</v>
      </c>
      <c r="G7" s="2" t="s">
        <v>545</v>
      </c>
      <c r="H7" s="2" t="s">
        <v>546</v>
      </c>
    </row>
    <row r="8" spans="1:8" ht="60" customHeight="1">
      <c r="A8" s="2" t="s">
        <v>216</v>
      </c>
      <c r="B8" s="2" t="s">
        <v>547</v>
      </c>
      <c r="C8" s="2" t="s">
        <v>820</v>
      </c>
      <c r="D8" s="3" t="s">
        <v>536</v>
      </c>
      <c r="E8" s="2" t="s">
        <v>548</v>
      </c>
      <c r="F8" s="2" t="s">
        <v>549</v>
      </c>
      <c r="G8" s="2" t="s">
        <v>550</v>
      </c>
      <c r="H8" s="2" t="s">
        <v>821</v>
      </c>
    </row>
    <row r="9" spans="1:8" ht="14.25" customHeight="1">
      <c r="A9" s="2" t="s">
        <v>551</v>
      </c>
      <c r="B9" s="2" t="s">
        <v>552</v>
      </c>
      <c r="C9" s="2" t="s">
        <v>553</v>
      </c>
      <c r="D9" s="3" t="s">
        <v>554</v>
      </c>
      <c r="E9" s="2" t="s">
        <v>194</v>
      </c>
      <c r="F9" s="2" t="s">
        <v>555</v>
      </c>
      <c r="G9" s="2" t="s">
        <v>556</v>
      </c>
      <c r="H9" s="2" t="s">
        <v>557</v>
      </c>
    </row>
    <row r="10" spans="1:8" ht="14.25" customHeight="1">
      <c r="A10" s="2" t="s">
        <v>558</v>
      </c>
      <c r="B10" s="2" t="s">
        <v>559</v>
      </c>
      <c r="C10" s="2" t="s">
        <v>560</v>
      </c>
      <c r="D10" s="5" t="s">
        <v>554</v>
      </c>
      <c r="E10" s="2" t="s">
        <v>561</v>
      </c>
      <c r="F10" s="2" t="s">
        <v>562</v>
      </c>
      <c r="G10" s="2" t="s">
        <v>556</v>
      </c>
      <c r="H10" s="2" t="s">
        <v>557</v>
      </c>
    </row>
    <row r="11" spans="1:8" ht="24" customHeight="1">
      <c r="A11" s="2" t="s">
        <v>9</v>
      </c>
      <c r="B11" s="2" t="s">
        <v>563</v>
      </c>
      <c r="C11" s="2" t="s">
        <v>564</v>
      </c>
      <c r="D11" s="3" t="s">
        <v>565</v>
      </c>
      <c r="E11" s="2" t="s">
        <v>566</v>
      </c>
      <c r="F11" s="2" t="s">
        <v>567</v>
      </c>
      <c r="G11" s="2" t="s">
        <v>568</v>
      </c>
      <c r="H11" s="2" t="s">
        <v>569</v>
      </c>
    </row>
    <row r="12" spans="1:8" ht="44.1" customHeight="1">
      <c r="A12" s="2" t="s">
        <v>570</v>
      </c>
      <c r="B12" s="2" t="s">
        <v>571</v>
      </c>
      <c r="C12" s="2" t="s">
        <v>572</v>
      </c>
      <c r="D12" s="3" t="s">
        <v>247</v>
      </c>
      <c r="E12" s="2" t="s">
        <v>30</v>
      </c>
      <c r="F12" s="2" t="s">
        <v>573</v>
      </c>
      <c r="G12" s="2" t="s">
        <v>574</v>
      </c>
      <c r="H12" s="2" t="s">
        <v>575</v>
      </c>
    </row>
    <row r="13" spans="1:8">
      <c r="A13" s="9" t="s">
        <v>12</v>
      </c>
      <c r="B13" s="9" t="s">
        <v>576</v>
      </c>
      <c r="C13" s="9" t="s">
        <v>577</v>
      </c>
      <c r="D13" s="9" t="s">
        <v>578</v>
      </c>
      <c r="E13" s="9" t="s">
        <v>579</v>
      </c>
      <c r="F13" s="9" t="s">
        <v>580</v>
      </c>
      <c r="G13" s="9" t="s">
        <v>581</v>
      </c>
      <c r="H13" s="9" t="s">
        <v>569</v>
      </c>
    </row>
    <row r="14" spans="1:8" ht="118.9" customHeight="1">
      <c r="A14" s="25" t="s">
        <v>822</v>
      </c>
      <c r="B14" s="25" t="s">
        <v>823</v>
      </c>
      <c r="C14" s="25" t="s">
        <v>824</v>
      </c>
      <c r="D14" s="25" t="s">
        <v>825</v>
      </c>
      <c r="E14" s="25" t="s">
        <v>826</v>
      </c>
      <c r="F14" s="25" t="s">
        <v>827</v>
      </c>
      <c r="G14" s="25" t="s">
        <v>828</v>
      </c>
      <c r="H14" s="25" t="s">
        <v>829</v>
      </c>
    </row>
    <row r="15" spans="1:8" ht="120" customHeight="1">
      <c r="A15" s="25" t="s">
        <v>830</v>
      </c>
      <c r="B15" s="25" t="s">
        <v>831</v>
      </c>
      <c r="C15" s="25" t="s">
        <v>832</v>
      </c>
      <c r="D15" s="25" t="s">
        <v>833</v>
      </c>
      <c r="E15" s="25" t="s">
        <v>834</v>
      </c>
      <c r="F15" s="25" t="s">
        <v>835</v>
      </c>
      <c r="G15" s="25" t="s">
        <v>828</v>
      </c>
      <c r="H15" s="25" t="s">
        <v>836</v>
      </c>
    </row>
    <row r="16" spans="1:8">
      <c r="A16" t="s">
        <v>837</v>
      </c>
      <c r="B16" t="s">
        <v>838</v>
      </c>
      <c r="C16" t="s">
        <v>839</v>
      </c>
      <c r="D16" t="s">
        <v>840</v>
      </c>
      <c r="E16" t="s">
        <v>841</v>
      </c>
      <c r="F16" t="s">
        <v>842</v>
      </c>
      <c r="G16" t="s">
        <v>843</v>
      </c>
      <c r="H16" t="s">
        <v>844</v>
      </c>
    </row>
    <row r="17" spans="1:8">
      <c r="A17" t="s">
        <v>845</v>
      </c>
      <c r="B17" t="s">
        <v>846</v>
      </c>
      <c r="C17" t="s">
        <v>847</v>
      </c>
      <c r="D17" t="s">
        <v>848</v>
      </c>
      <c r="E17" t="s">
        <v>849</v>
      </c>
      <c r="F17" t="s">
        <v>850</v>
      </c>
      <c r="G17" t="s">
        <v>851</v>
      </c>
      <c r="H17" t="s">
        <v>852</v>
      </c>
    </row>
    <row r="18" spans="1:8">
      <c r="A18" t="s">
        <v>853</v>
      </c>
      <c r="B18" t="s">
        <v>854</v>
      </c>
      <c r="C18" t="s">
        <v>855</v>
      </c>
      <c r="D18" t="s">
        <v>856</v>
      </c>
      <c r="E18" t="s">
        <v>857</v>
      </c>
      <c r="F18" t="s">
        <v>858</v>
      </c>
      <c r="G18" t="s">
        <v>851</v>
      </c>
      <c r="H18" t="s">
        <v>126</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8"/>
  <sheetViews>
    <sheetView workbookViewId="0"/>
  </sheetViews>
  <sheetFormatPr defaultRowHeight="14.25"/>
  <cols>
    <col min="1" max="1" width="14" customWidth="1"/>
    <col min="2" max="2" width="30" customWidth="1"/>
    <col min="3" max="3" width="25" customWidth="1"/>
    <col min="4" max="4" width="38" customWidth="1"/>
    <col min="5" max="5" width="14" customWidth="1"/>
    <col min="6" max="7" width="18" customWidth="1"/>
    <col min="8" max="8" width="45" customWidth="1"/>
    <col min="9" max="10" width="17" customWidth="1"/>
    <col min="11" max="11" width="25" customWidth="1"/>
  </cols>
  <sheetData>
    <row r="1" spans="1:11" ht="27.95" customHeight="1">
      <c r="A1" s="47" t="s">
        <v>859</v>
      </c>
      <c r="B1" s="47"/>
      <c r="C1" s="47"/>
      <c r="D1" s="47"/>
      <c r="E1" s="47"/>
      <c r="F1" s="47"/>
      <c r="G1" s="47"/>
      <c r="H1" s="47"/>
      <c r="I1" s="47"/>
      <c r="J1" s="47"/>
      <c r="K1" s="47"/>
    </row>
    <row r="2" spans="1:11" ht="33.950000000000003" customHeight="1">
      <c r="A2" s="48" t="s">
        <v>860</v>
      </c>
      <c r="B2" s="49"/>
      <c r="C2" s="49"/>
      <c r="D2" s="49"/>
      <c r="E2" s="49"/>
      <c r="F2" s="49"/>
      <c r="G2" s="49"/>
      <c r="H2" s="49"/>
      <c r="I2" s="49"/>
      <c r="J2" s="49"/>
      <c r="K2" s="49"/>
    </row>
    <row r="3" spans="1:11">
      <c r="A3" s="9"/>
      <c r="B3" s="9"/>
      <c r="C3" s="9"/>
      <c r="D3" s="9"/>
      <c r="E3" s="9"/>
      <c r="F3" s="9"/>
      <c r="G3" s="9"/>
      <c r="H3" s="9"/>
      <c r="I3" s="9"/>
      <c r="J3" s="9"/>
      <c r="K3" s="9"/>
    </row>
    <row r="4" spans="1:11" ht="30" customHeight="1">
      <c r="A4" s="8" t="s">
        <v>582</v>
      </c>
      <c r="B4" s="8" t="s">
        <v>57</v>
      </c>
      <c r="C4" s="8" t="s">
        <v>59</v>
      </c>
      <c r="D4" s="8" t="s">
        <v>583</v>
      </c>
      <c r="E4" s="8" t="s">
        <v>584</v>
      </c>
      <c r="F4" s="8" t="s">
        <v>62</v>
      </c>
      <c r="G4" s="8" t="s">
        <v>63</v>
      </c>
      <c r="H4" s="8" t="s">
        <v>585</v>
      </c>
      <c r="I4" s="8" t="s">
        <v>586</v>
      </c>
      <c r="J4" s="8" t="s">
        <v>587</v>
      </c>
      <c r="K4" s="8" t="s">
        <v>588</v>
      </c>
    </row>
    <row r="5" spans="1:11" ht="32.1" customHeight="1">
      <c r="A5" s="2" t="s">
        <v>70</v>
      </c>
      <c r="B5" s="2" t="s">
        <v>589</v>
      </c>
      <c r="C5" s="2"/>
      <c r="D5" s="2"/>
      <c r="E5" s="2"/>
      <c r="F5" s="21"/>
      <c r="G5" s="21" t="str">
        <f t="shared" ref="G5:G21" si="0">IF(OR(E5="",F5=""),"",E5*F5)</f>
        <v/>
      </c>
      <c r="H5" s="2"/>
      <c r="I5" s="2"/>
      <c r="J5" s="2"/>
      <c r="K5" s="9"/>
    </row>
    <row r="6" spans="1:11" ht="32.1" customHeight="1">
      <c r="A6" s="2" t="s">
        <v>82</v>
      </c>
      <c r="B6" s="2" t="s">
        <v>83</v>
      </c>
      <c r="C6" s="2"/>
      <c r="D6" s="2"/>
      <c r="E6" s="2"/>
      <c r="F6" s="21"/>
      <c r="G6" s="21" t="str">
        <f t="shared" si="0"/>
        <v/>
      </c>
      <c r="H6" s="2"/>
      <c r="I6" s="2"/>
      <c r="J6" s="2"/>
      <c r="K6" s="9"/>
    </row>
    <row r="7" spans="1:11" ht="32.1" customHeight="1">
      <c r="A7" s="2" t="s">
        <v>90</v>
      </c>
      <c r="B7" s="2" t="s">
        <v>590</v>
      </c>
      <c r="C7" s="2"/>
      <c r="D7" s="2"/>
      <c r="E7" s="2"/>
      <c r="F7" s="21"/>
      <c r="G7" s="21" t="str">
        <f t="shared" si="0"/>
        <v/>
      </c>
      <c r="H7" s="2"/>
      <c r="I7" s="2"/>
      <c r="J7" s="2"/>
      <c r="K7" s="9"/>
    </row>
    <row r="8" spans="1:11" ht="32.1" customHeight="1">
      <c r="A8" s="2" t="s">
        <v>93</v>
      </c>
      <c r="B8" s="2" t="s">
        <v>591</v>
      </c>
      <c r="C8" s="2"/>
      <c r="D8" s="2"/>
      <c r="E8" s="2"/>
      <c r="F8" s="21"/>
      <c r="G8" s="21" t="str">
        <f t="shared" si="0"/>
        <v/>
      </c>
      <c r="H8" s="2"/>
      <c r="I8" s="2"/>
      <c r="J8" s="2"/>
      <c r="K8" s="9"/>
    </row>
    <row r="9" spans="1:11" ht="32.1" customHeight="1">
      <c r="A9" s="2" t="s">
        <v>101</v>
      </c>
      <c r="B9" s="2" t="s">
        <v>102</v>
      </c>
      <c r="C9" s="2"/>
      <c r="D9" s="2"/>
      <c r="E9" s="2"/>
      <c r="F9" s="21"/>
      <c r="G9" s="21" t="str">
        <f t="shared" si="0"/>
        <v/>
      </c>
      <c r="H9" s="2"/>
      <c r="I9" s="2"/>
      <c r="J9" s="2"/>
      <c r="K9" s="9"/>
    </row>
    <row r="10" spans="1:11" ht="32.1" customHeight="1">
      <c r="A10" s="2" t="s">
        <v>109</v>
      </c>
      <c r="B10" s="2" t="s">
        <v>110</v>
      </c>
      <c r="C10" s="2"/>
      <c r="D10" s="2"/>
      <c r="E10" s="2"/>
      <c r="F10" s="21"/>
      <c r="G10" s="21" t="str">
        <f t="shared" si="0"/>
        <v/>
      </c>
      <c r="H10" s="2"/>
      <c r="I10" s="2"/>
      <c r="J10" s="2"/>
      <c r="K10" s="9"/>
    </row>
    <row r="11" spans="1:11" ht="32.1" customHeight="1">
      <c r="A11" s="2" t="s">
        <v>118</v>
      </c>
      <c r="B11" s="2" t="s">
        <v>592</v>
      </c>
      <c r="C11" s="2"/>
      <c r="D11" s="2"/>
      <c r="E11" s="2"/>
      <c r="F11" s="21"/>
      <c r="G11" s="21" t="str">
        <f t="shared" si="0"/>
        <v/>
      </c>
      <c r="H11" s="2"/>
      <c r="I11" s="2"/>
      <c r="J11" s="2"/>
      <c r="K11" s="9"/>
    </row>
    <row r="12" spans="1:11" ht="32.1" customHeight="1">
      <c r="A12" s="2" t="s">
        <v>127</v>
      </c>
      <c r="B12" s="2" t="s">
        <v>128</v>
      </c>
      <c r="C12" s="2"/>
      <c r="D12" s="2"/>
      <c r="E12" s="2"/>
      <c r="F12" s="21"/>
      <c r="G12" s="21" t="str">
        <f t="shared" si="0"/>
        <v/>
      </c>
      <c r="H12" s="2"/>
      <c r="I12" s="2"/>
      <c r="J12" s="2"/>
      <c r="K12" s="9"/>
    </row>
    <row r="13" spans="1:11" ht="32.1" customHeight="1">
      <c r="A13" s="2" t="s">
        <v>131</v>
      </c>
      <c r="B13" s="2" t="s">
        <v>593</v>
      </c>
      <c r="C13" s="2"/>
      <c r="D13" s="2"/>
      <c r="E13" s="2"/>
      <c r="F13" s="21"/>
      <c r="G13" s="21" t="str">
        <f t="shared" si="0"/>
        <v/>
      </c>
      <c r="H13" s="2"/>
      <c r="I13" s="2"/>
      <c r="J13" s="2"/>
      <c r="K13" s="9"/>
    </row>
    <row r="14" spans="1:11" ht="32.1" customHeight="1">
      <c r="A14" s="2" t="s">
        <v>140</v>
      </c>
      <c r="B14" s="2" t="s">
        <v>141</v>
      </c>
      <c r="C14" s="2"/>
      <c r="D14" s="2"/>
      <c r="E14" s="2"/>
      <c r="F14" s="21"/>
      <c r="G14" s="21" t="str">
        <f t="shared" si="0"/>
        <v/>
      </c>
      <c r="H14" s="2"/>
      <c r="I14" s="2"/>
      <c r="J14" s="2"/>
      <c r="K14" s="9"/>
    </row>
    <row r="15" spans="1:11" ht="32.1" customHeight="1">
      <c r="A15" s="2" t="s">
        <v>149</v>
      </c>
      <c r="B15" s="2" t="s">
        <v>594</v>
      </c>
      <c r="C15" s="2"/>
      <c r="D15" s="2"/>
      <c r="E15" s="2"/>
      <c r="F15" s="21"/>
      <c r="G15" s="21" t="str">
        <f t="shared" si="0"/>
        <v/>
      </c>
      <c r="H15" s="2"/>
      <c r="I15" s="2"/>
      <c r="J15" s="2"/>
      <c r="K15" s="9"/>
    </row>
    <row r="16" spans="1:11" ht="32.1" customHeight="1">
      <c r="A16" s="2" t="s">
        <v>150</v>
      </c>
      <c r="B16" s="2" t="s">
        <v>861</v>
      </c>
      <c r="C16" s="2"/>
      <c r="D16" s="2"/>
      <c r="E16" s="2"/>
      <c r="F16" s="21"/>
      <c r="G16" s="21" t="str">
        <f t="shared" si="0"/>
        <v/>
      </c>
      <c r="H16" s="2"/>
      <c r="I16" s="2"/>
      <c r="J16" s="2"/>
      <c r="K16" s="9"/>
    </row>
    <row r="17" spans="1:11" ht="32.1" customHeight="1">
      <c r="A17" s="2" t="s">
        <v>159</v>
      </c>
      <c r="B17" s="2" t="s">
        <v>162</v>
      </c>
      <c r="C17" s="2"/>
      <c r="D17" s="2"/>
      <c r="E17" s="2"/>
      <c r="F17" s="21"/>
      <c r="G17" s="21" t="str">
        <f t="shared" si="0"/>
        <v/>
      </c>
      <c r="H17" s="2"/>
      <c r="I17" s="2"/>
      <c r="J17" s="2"/>
      <c r="K17" s="9"/>
    </row>
    <row r="18" spans="1:11" ht="32.1" customHeight="1">
      <c r="A18" s="2" t="s">
        <v>168</v>
      </c>
      <c r="B18" s="2" t="s">
        <v>169</v>
      </c>
      <c r="C18" s="2"/>
      <c r="D18" s="2"/>
      <c r="E18" s="2"/>
      <c r="F18" s="21"/>
      <c r="G18" s="21" t="str">
        <f t="shared" si="0"/>
        <v/>
      </c>
      <c r="H18" s="2"/>
      <c r="I18" s="2"/>
      <c r="J18" s="2"/>
      <c r="K18" s="9"/>
    </row>
    <row r="19" spans="1:11" ht="32.1" customHeight="1">
      <c r="A19" s="2" t="s">
        <v>172</v>
      </c>
      <c r="B19" s="2" t="s">
        <v>595</v>
      </c>
      <c r="C19" s="2"/>
      <c r="D19" s="2"/>
      <c r="E19" s="2"/>
      <c r="F19" s="21"/>
      <c r="G19" s="21" t="str">
        <f t="shared" si="0"/>
        <v/>
      </c>
      <c r="H19" s="2"/>
      <c r="I19" s="2"/>
      <c r="J19" s="2"/>
      <c r="K19" s="9"/>
    </row>
    <row r="20" spans="1:11" ht="32.1" customHeight="1">
      <c r="A20" s="2" t="s">
        <v>176</v>
      </c>
      <c r="B20" s="2" t="s">
        <v>596</v>
      </c>
      <c r="C20" s="2"/>
      <c r="D20" s="2"/>
      <c r="E20" s="2"/>
      <c r="F20" s="21"/>
      <c r="G20" s="21" t="str">
        <f t="shared" si="0"/>
        <v/>
      </c>
      <c r="H20" s="2"/>
      <c r="I20" s="2"/>
      <c r="J20" s="2"/>
      <c r="K20" s="9"/>
    </row>
    <row r="21" spans="1:11" ht="32.1" customHeight="1">
      <c r="A21" s="2" t="s">
        <v>183</v>
      </c>
      <c r="B21" s="2" t="s">
        <v>597</v>
      </c>
      <c r="C21" s="2"/>
      <c r="D21" s="2"/>
      <c r="E21" s="2"/>
      <c r="F21" s="21"/>
      <c r="G21" s="21" t="str">
        <f t="shared" si="0"/>
        <v/>
      </c>
      <c r="H21" s="2"/>
      <c r="I21" s="2"/>
      <c r="J21" s="2"/>
      <c r="K21" s="9"/>
    </row>
    <row r="22" spans="1:11" ht="32.1" customHeight="1">
      <c r="A22" s="2"/>
      <c r="B22" s="2"/>
      <c r="C22" s="2"/>
      <c r="D22" s="2"/>
      <c r="E22" s="2"/>
      <c r="F22" s="21"/>
      <c r="G22" s="21"/>
      <c r="H22" s="2"/>
      <c r="I22" s="2"/>
      <c r="J22" s="2"/>
      <c r="K22" s="9"/>
    </row>
    <row r="23" spans="1:11" ht="32.1" customHeight="1">
      <c r="A23" s="2"/>
      <c r="B23" s="2"/>
      <c r="C23" s="2"/>
      <c r="D23" s="2"/>
      <c r="E23" s="2"/>
      <c r="F23" s="21"/>
      <c r="G23" s="21"/>
      <c r="H23" s="2"/>
      <c r="I23" s="2"/>
      <c r="J23" s="2"/>
      <c r="K23" s="9"/>
    </row>
    <row r="24" spans="1:11" ht="32.1" customHeight="1">
      <c r="A24" s="2"/>
      <c r="B24" s="2"/>
      <c r="C24" s="2"/>
      <c r="D24" s="2"/>
      <c r="E24" s="2"/>
      <c r="F24" s="21"/>
      <c r="G24" s="21"/>
      <c r="H24" s="2"/>
      <c r="I24" s="2"/>
      <c r="J24" s="2"/>
      <c r="K24" s="9"/>
    </row>
    <row r="25" spans="1:11">
      <c r="A25" s="9"/>
      <c r="B25" s="9"/>
      <c r="C25" s="9"/>
      <c r="D25" s="9"/>
      <c r="E25" s="9"/>
      <c r="F25" s="22"/>
      <c r="G25" s="22"/>
      <c r="H25" s="9"/>
      <c r="I25" s="9"/>
      <c r="J25" s="9"/>
      <c r="K25" s="9"/>
    </row>
    <row r="26" spans="1:11" ht="15">
      <c r="A26" s="54" t="s">
        <v>598</v>
      </c>
      <c r="B26" s="54"/>
      <c r="C26" s="54"/>
      <c r="D26" s="54"/>
      <c r="E26" s="54"/>
      <c r="F26" s="55"/>
      <c r="G26" s="23">
        <f>SUM(G5:G21)</f>
        <v>0</v>
      </c>
      <c r="H26" s="9"/>
      <c r="I26" s="9"/>
      <c r="J26" s="9"/>
      <c r="K26" s="9"/>
    </row>
    <row r="27" spans="1:11">
      <c r="A27" s="9"/>
      <c r="B27" s="9"/>
      <c r="C27" s="9"/>
      <c r="D27" s="9"/>
      <c r="E27" s="9"/>
      <c r="F27" s="9"/>
      <c r="G27" s="9"/>
      <c r="H27" s="9"/>
      <c r="I27" s="9"/>
      <c r="J27" s="9"/>
      <c r="K27" s="9"/>
    </row>
    <row r="28" spans="1:11" ht="36" customHeight="1">
      <c r="A28" s="50" t="s">
        <v>599</v>
      </c>
      <c r="B28" s="50"/>
      <c r="C28" s="50"/>
      <c r="D28" s="50"/>
      <c r="E28" s="50"/>
      <c r="F28" s="50"/>
      <c r="G28" s="50"/>
      <c r="H28" s="50"/>
      <c r="I28" s="50"/>
      <c r="J28" s="50"/>
      <c r="K28" s="9"/>
    </row>
  </sheetData>
  <mergeCells count="4">
    <mergeCell ref="A26:F26"/>
    <mergeCell ref="A28:J28"/>
    <mergeCell ref="A1:K1"/>
    <mergeCell ref="A2: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2"/>
  <sheetViews>
    <sheetView workbookViewId="0">
      <pane ySplit="4" topLeftCell="A5" activePane="bottomLeft" state="frozen"/>
      <selection pane="bottomLeft"/>
    </sheetView>
  </sheetViews>
  <sheetFormatPr defaultRowHeight="14.25"/>
  <cols>
    <col min="1" max="1" width="10" customWidth="1"/>
    <col min="2" max="2" width="20" customWidth="1"/>
    <col min="3" max="3" width="17" customWidth="1"/>
    <col min="4" max="4" width="28" customWidth="1"/>
    <col min="5" max="5" width="38" customWidth="1"/>
    <col min="6" max="6" width="24" customWidth="1"/>
    <col min="7" max="7" width="9" customWidth="1"/>
    <col min="8" max="9" width="16" customWidth="1"/>
    <col min="10" max="10" width="60" customWidth="1"/>
  </cols>
  <sheetData>
    <row r="1" spans="1:10" ht="18">
      <c r="A1" s="47" t="s">
        <v>862</v>
      </c>
      <c r="B1" s="47"/>
      <c r="C1" s="47"/>
      <c r="D1" s="47"/>
      <c r="E1" s="47"/>
      <c r="F1" s="47"/>
      <c r="G1" s="47"/>
      <c r="H1" s="47"/>
      <c r="I1" s="47"/>
      <c r="J1" s="47"/>
    </row>
    <row r="2" spans="1:10" ht="42" customHeight="1">
      <c r="A2" s="49" t="s">
        <v>863</v>
      </c>
      <c r="B2" s="49"/>
      <c r="C2" s="49"/>
      <c r="D2" s="49"/>
      <c r="E2" s="49"/>
      <c r="F2" s="49"/>
      <c r="G2" s="49"/>
      <c r="H2" s="49"/>
      <c r="I2" s="49"/>
      <c r="J2" s="49"/>
    </row>
    <row r="4" spans="1:10" ht="32.1" customHeight="1">
      <c r="A4" s="24" t="s">
        <v>864</v>
      </c>
      <c r="B4" s="24" t="s">
        <v>55</v>
      </c>
      <c r="C4" s="24" t="s">
        <v>56</v>
      </c>
      <c r="D4" s="24" t="s">
        <v>865</v>
      </c>
      <c r="E4" s="24" t="s">
        <v>866</v>
      </c>
      <c r="F4" s="24" t="s">
        <v>867</v>
      </c>
      <c r="G4" s="24" t="s">
        <v>61</v>
      </c>
      <c r="H4" s="24" t="s">
        <v>868</v>
      </c>
      <c r="I4" s="24" t="s">
        <v>63</v>
      </c>
      <c r="J4" s="24" t="s">
        <v>869</v>
      </c>
    </row>
    <row r="5" spans="1:10" ht="120" customHeight="1">
      <c r="A5" s="25" t="s">
        <v>870</v>
      </c>
      <c r="B5" s="25" t="s">
        <v>871</v>
      </c>
      <c r="C5" s="25" t="s">
        <v>872</v>
      </c>
      <c r="D5" s="25" t="s">
        <v>873</v>
      </c>
      <c r="E5" s="25" t="s">
        <v>874</v>
      </c>
      <c r="F5" s="25" t="s">
        <v>875</v>
      </c>
      <c r="G5" s="25">
        <v>0</v>
      </c>
      <c r="H5" s="27"/>
      <c r="I5" s="27"/>
      <c r="J5" s="25" t="s">
        <v>876</v>
      </c>
    </row>
    <row r="6" spans="1:10" ht="72" customHeight="1">
      <c r="A6" s="25" t="s">
        <v>877</v>
      </c>
      <c r="B6" s="25" t="s">
        <v>878</v>
      </c>
      <c r="C6" s="25" t="s">
        <v>879</v>
      </c>
      <c r="D6" s="25" t="s">
        <v>880</v>
      </c>
      <c r="E6" s="25" t="s">
        <v>881</v>
      </c>
      <c r="F6" s="25" t="s">
        <v>882</v>
      </c>
      <c r="G6" s="25">
        <v>0</v>
      </c>
      <c r="H6" s="27"/>
      <c r="I6" s="27" t="str">
        <f t="shared" ref="I6:I14" si="0">IF(OR(G6="",H6=""),"",G6*H6)</f>
        <v/>
      </c>
      <c r="J6" s="25" t="s">
        <v>883</v>
      </c>
    </row>
    <row r="7" spans="1:10" ht="72" customHeight="1">
      <c r="A7" s="25" t="s">
        <v>884</v>
      </c>
      <c r="B7" s="25" t="s">
        <v>885</v>
      </c>
      <c r="C7" s="25" t="s">
        <v>886</v>
      </c>
      <c r="D7" s="25" t="s">
        <v>887</v>
      </c>
      <c r="E7" s="25" t="s">
        <v>888</v>
      </c>
      <c r="F7" s="25" t="s">
        <v>889</v>
      </c>
      <c r="G7" s="25">
        <v>1</v>
      </c>
      <c r="H7" s="27"/>
      <c r="I7" s="27" t="str">
        <f t="shared" si="0"/>
        <v/>
      </c>
      <c r="J7" s="25" t="s">
        <v>890</v>
      </c>
    </row>
    <row r="8" spans="1:10" ht="72" customHeight="1">
      <c r="A8" s="25" t="s">
        <v>891</v>
      </c>
      <c r="B8" s="25" t="s">
        <v>71</v>
      </c>
      <c r="C8" s="25" t="s">
        <v>72</v>
      </c>
      <c r="D8" s="25" t="s">
        <v>892</v>
      </c>
      <c r="E8" s="25" t="s">
        <v>893</v>
      </c>
      <c r="F8" s="25" t="s">
        <v>894</v>
      </c>
      <c r="G8" s="25">
        <v>1</v>
      </c>
      <c r="H8" s="27"/>
      <c r="I8" s="27" t="str">
        <f t="shared" si="0"/>
        <v/>
      </c>
      <c r="J8" s="25" t="s">
        <v>895</v>
      </c>
    </row>
    <row r="9" spans="1:10" ht="72" customHeight="1">
      <c r="A9" s="25" t="s">
        <v>896</v>
      </c>
      <c r="B9" s="25" t="s">
        <v>71</v>
      </c>
      <c r="C9" s="25" t="s">
        <v>72</v>
      </c>
      <c r="D9" s="25" t="s">
        <v>897</v>
      </c>
      <c r="E9" s="25" t="s">
        <v>898</v>
      </c>
      <c r="F9" s="25" t="s">
        <v>894</v>
      </c>
      <c r="G9" s="25">
        <v>1</v>
      </c>
      <c r="H9" s="27"/>
      <c r="I9" s="27" t="str">
        <f t="shared" si="0"/>
        <v/>
      </c>
      <c r="J9" s="25" t="s">
        <v>899</v>
      </c>
    </row>
    <row r="10" spans="1:10" ht="72" customHeight="1">
      <c r="A10" s="25" t="s">
        <v>900</v>
      </c>
      <c r="B10" s="25" t="s">
        <v>901</v>
      </c>
      <c r="C10" s="25" t="s">
        <v>161</v>
      </c>
      <c r="D10" s="25" t="s">
        <v>902</v>
      </c>
      <c r="E10" s="25" t="s">
        <v>903</v>
      </c>
      <c r="F10" s="25" t="s">
        <v>904</v>
      </c>
      <c r="G10" s="25">
        <v>0</v>
      </c>
      <c r="H10" s="27"/>
      <c r="I10" s="27" t="str">
        <f t="shared" si="0"/>
        <v/>
      </c>
      <c r="J10" s="25" t="s">
        <v>905</v>
      </c>
    </row>
    <row r="11" spans="1:10" ht="72" customHeight="1">
      <c r="A11" s="25" t="s">
        <v>906</v>
      </c>
      <c r="B11" s="25" t="s">
        <v>71</v>
      </c>
      <c r="C11" s="25" t="s">
        <v>72</v>
      </c>
      <c r="D11" s="25" t="s">
        <v>907</v>
      </c>
      <c r="E11" s="25" t="s">
        <v>908</v>
      </c>
      <c r="F11" s="25" t="s">
        <v>904</v>
      </c>
      <c r="G11" s="25">
        <v>1</v>
      </c>
      <c r="H11" s="27"/>
      <c r="I11" s="27" t="str">
        <f t="shared" si="0"/>
        <v/>
      </c>
      <c r="J11" s="25" t="s">
        <v>909</v>
      </c>
    </row>
    <row r="12" spans="1:10" ht="72" customHeight="1">
      <c r="A12" s="25" t="s">
        <v>910</v>
      </c>
      <c r="B12" s="25" t="s">
        <v>901</v>
      </c>
      <c r="C12" s="25" t="s">
        <v>72</v>
      </c>
      <c r="D12" s="25" t="s">
        <v>911</v>
      </c>
      <c r="E12" s="25" t="s">
        <v>912</v>
      </c>
      <c r="F12" s="25" t="s">
        <v>913</v>
      </c>
      <c r="G12" s="25">
        <v>1</v>
      </c>
      <c r="H12" s="27"/>
      <c r="I12" s="27" t="str">
        <f t="shared" si="0"/>
        <v/>
      </c>
      <c r="J12" s="25" t="s">
        <v>914</v>
      </c>
    </row>
    <row r="13" spans="1:10" ht="72" customHeight="1">
      <c r="A13" s="25" t="s">
        <v>915</v>
      </c>
      <c r="B13" s="25" t="s">
        <v>916</v>
      </c>
      <c r="C13" s="25" t="s">
        <v>917</v>
      </c>
      <c r="D13" s="25" t="s">
        <v>918</v>
      </c>
      <c r="E13" s="25" t="s">
        <v>919</v>
      </c>
      <c r="F13" s="25" t="s">
        <v>920</v>
      </c>
      <c r="G13" s="25">
        <v>0</v>
      </c>
      <c r="H13" s="27"/>
      <c r="I13" s="27" t="str">
        <f t="shared" si="0"/>
        <v/>
      </c>
      <c r="J13" s="25" t="s">
        <v>921</v>
      </c>
    </row>
    <row r="14" spans="1:10" ht="72" customHeight="1">
      <c r="A14" s="25" t="s">
        <v>922</v>
      </c>
      <c r="B14" s="25" t="s">
        <v>923</v>
      </c>
      <c r="C14" s="25" t="s">
        <v>924</v>
      </c>
      <c r="D14" s="25" t="s">
        <v>925</v>
      </c>
      <c r="E14" s="25" t="s">
        <v>926</v>
      </c>
      <c r="F14" s="25" t="s">
        <v>927</v>
      </c>
      <c r="G14" s="25">
        <v>1</v>
      </c>
      <c r="H14" s="27"/>
      <c r="I14" s="27" t="str">
        <f t="shared" si="0"/>
        <v/>
      </c>
      <c r="J14" s="25" t="s">
        <v>928</v>
      </c>
    </row>
    <row r="15" spans="1:10" ht="81.95" customHeight="1">
      <c r="A15" s="25" t="s">
        <v>929</v>
      </c>
      <c r="B15" s="25" t="s">
        <v>930</v>
      </c>
      <c r="C15" s="25" t="s">
        <v>931</v>
      </c>
      <c r="D15" s="25" t="s">
        <v>932</v>
      </c>
      <c r="E15" s="25" t="s">
        <v>933</v>
      </c>
      <c r="F15" s="25" t="s">
        <v>934</v>
      </c>
      <c r="G15" s="25">
        <v>0</v>
      </c>
      <c r="H15" s="25"/>
      <c r="I15" s="25"/>
      <c r="J15" s="25" t="s">
        <v>935</v>
      </c>
    </row>
    <row r="17" spans="1:10" ht="30">
      <c r="A17" s="24" t="s">
        <v>936</v>
      </c>
      <c r="B17" s="24" t="s">
        <v>937</v>
      </c>
    </row>
    <row r="18" spans="1:10" ht="150">
      <c r="A18" s="26" t="s">
        <v>938</v>
      </c>
      <c r="B18" s="28">
        <f>Satın_Alma!J28</f>
        <v>6543.96</v>
      </c>
    </row>
    <row r="19" spans="1:10" ht="180">
      <c r="A19" s="26" t="s">
        <v>939</v>
      </c>
      <c r="B19" s="28"/>
    </row>
    <row r="20" spans="1:10" ht="90">
      <c r="A20" s="26" t="s">
        <v>940</v>
      </c>
      <c r="B20" s="28">
        <f>B18</f>
        <v>6543.96</v>
      </c>
    </row>
    <row r="22" spans="1:10" ht="26.45" customHeight="1">
      <c r="A22" s="56" t="s">
        <v>941</v>
      </c>
      <c r="B22" s="56"/>
      <c r="C22" s="56"/>
      <c r="D22" s="56"/>
      <c r="E22" s="56"/>
      <c r="F22" s="56"/>
      <c r="G22" s="56"/>
      <c r="H22" s="56"/>
      <c r="I22" s="56"/>
      <c r="J22" s="56" t="s">
        <v>942</v>
      </c>
    </row>
  </sheetData>
  <mergeCells count="3">
    <mergeCell ref="A1:J1"/>
    <mergeCell ref="A2:J2"/>
    <mergeCell ref="A22:J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workbookViewId="0">
      <pane ySplit="4" topLeftCell="A5" activePane="bottomLeft" state="frozen"/>
      <selection pane="bottomLeft"/>
    </sheetView>
  </sheetViews>
  <sheetFormatPr defaultRowHeight="14.25"/>
  <cols>
    <col min="1" max="1" width="12" customWidth="1"/>
    <col min="2" max="2" width="27" customWidth="1"/>
    <col min="3" max="3" width="65" customWidth="1"/>
    <col min="4" max="4" width="26" customWidth="1"/>
    <col min="5" max="5" width="25" customWidth="1"/>
    <col min="6" max="6" width="28" customWidth="1"/>
    <col min="7" max="7" width="42" customWidth="1"/>
    <col min="8" max="8" width="58" customWidth="1"/>
  </cols>
  <sheetData>
    <row r="1" spans="1:8" ht="18">
      <c r="A1" s="47" t="s">
        <v>943</v>
      </c>
      <c r="B1" s="47"/>
      <c r="C1" s="47"/>
      <c r="D1" s="47"/>
      <c r="E1" s="47"/>
      <c r="F1" s="47"/>
      <c r="G1" s="47"/>
      <c r="H1" s="47"/>
    </row>
    <row r="2" spans="1:8" ht="42" customHeight="1">
      <c r="A2" s="49" t="s">
        <v>944</v>
      </c>
      <c r="B2" s="49"/>
      <c r="C2" s="49"/>
      <c r="D2" s="49"/>
      <c r="E2" s="49"/>
      <c r="F2" s="49"/>
      <c r="G2" s="49"/>
      <c r="H2" s="49"/>
    </row>
    <row r="4" spans="1:8" ht="32.1" customHeight="1">
      <c r="A4" s="24" t="s">
        <v>864</v>
      </c>
      <c r="B4" s="24" t="s">
        <v>945</v>
      </c>
      <c r="C4" s="24" t="s">
        <v>946</v>
      </c>
      <c r="D4" s="24" t="s">
        <v>212</v>
      </c>
      <c r="E4" s="24" t="s">
        <v>381</v>
      </c>
      <c r="F4" s="24" t="s">
        <v>947</v>
      </c>
      <c r="G4" s="24" t="s">
        <v>948</v>
      </c>
      <c r="H4" s="24" t="s">
        <v>949</v>
      </c>
    </row>
    <row r="5" spans="1:8" ht="145.15" customHeight="1">
      <c r="A5" s="25" t="s">
        <v>950</v>
      </c>
      <c r="B5" s="25" t="s">
        <v>951</v>
      </c>
      <c r="C5" s="25" t="s">
        <v>952</v>
      </c>
      <c r="D5" s="25" t="s">
        <v>953</v>
      </c>
      <c r="E5" s="25" t="s">
        <v>954</v>
      </c>
      <c r="F5" s="25" t="s">
        <v>955</v>
      </c>
      <c r="G5" s="25" t="s">
        <v>956</v>
      </c>
      <c r="H5" s="25" t="s">
        <v>957</v>
      </c>
    </row>
    <row r="6" spans="1:8" ht="79.150000000000006" customHeight="1">
      <c r="A6" s="25" t="s">
        <v>958</v>
      </c>
      <c r="B6" s="25" t="s">
        <v>959</v>
      </c>
      <c r="C6" s="25" t="s">
        <v>960</v>
      </c>
      <c r="D6" s="25" t="s">
        <v>953</v>
      </c>
      <c r="E6" s="25" t="s">
        <v>510</v>
      </c>
      <c r="F6" s="25" t="s">
        <v>961</v>
      </c>
      <c r="G6" s="25" t="s">
        <v>962</v>
      </c>
      <c r="H6" s="25" t="s">
        <v>963</v>
      </c>
    </row>
    <row r="7" spans="1:8" ht="69.95" customHeight="1">
      <c r="A7" s="25" t="s">
        <v>964</v>
      </c>
      <c r="B7" s="25" t="s">
        <v>965</v>
      </c>
      <c r="C7" s="25" t="s">
        <v>966</v>
      </c>
      <c r="D7" s="25" t="s">
        <v>967</v>
      </c>
      <c r="E7" s="25" t="s">
        <v>968</v>
      </c>
      <c r="F7" s="25" t="s">
        <v>969</v>
      </c>
      <c r="G7" s="25" t="s">
        <v>970</v>
      </c>
      <c r="H7" s="25" t="s">
        <v>971</v>
      </c>
    </row>
    <row r="8" spans="1:8" ht="78" customHeight="1">
      <c r="A8" s="25" t="s">
        <v>972</v>
      </c>
      <c r="B8" s="25" t="s">
        <v>973</v>
      </c>
      <c r="C8" s="25" t="s">
        <v>974</v>
      </c>
      <c r="D8" s="25" t="s">
        <v>975</v>
      </c>
      <c r="E8" s="25" t="s">
        <v>406</v>
      </c>
      <c r="F8" s="25" t="s">
        <v>976</v>
      </c>
      <c r="G8" s="25" t="s">
        <v>977</v>
      </c>
      <c r="H8" s="25" t="s">
        <v>978</v>
      </c>
    </row>
    <row r="9" spans="1:8" ht="78" customHeight="1">
      <c r="A9" s="25" t="s">
        <v>979</v>
      </c>
      <c r="B9" s="25" t="s">
        <v>980</v>
      </c>
      <c r="C9" s="25" t="s">
        <v>981</v>
      </c>
      <c r="D9" s="25" t="s">
        <v>982</v>
      </c>
      <c r="E9" s="25" t="s">
        <v>983</v>
      </c>
      <c r="F9" s="25" t="s">
        <v>984</v>
      </c>
      <c r="G9" s="25" t="s">
        <v>985</v>
      </c>
      <c r="H9" s="25" t="s">
        <v>986</v>
      </c>
    </row>
    <row r="10" spans="1:8" ht="78" customHeight="1">
      <c r="A10" s="25" t="s">
        <v>987</v>
      </c>
      <c r="B10" s="25" t="s">
        <v>988</v>
      </c>
      <c r="C10" s="25" t="s">
        <v>989</v>
      </c>
      <c r="D10" s="25" t="s">
        <v>990</v>
      </c>
      <c r="E10" s="25" t="s">
        <v>481</v>
      </c>
      <c r="F10" s="25" t="s">
        <v>991</v>
      </c>
      <c r="G10" s="25" t="s">
        <v>992</v>
      </c>
      <c r="H10" s="25" t="s">
        <v>852</v>
      </c>
    </row>
    <row r="11" spans="1:8" ht="78" customHeight="1">
      <c r="A11" s="25" t="s">
        <v>993</v>
      </c>
      <c r="B11" s="25" t="s">
        <v>994</v>
      </c>
      <c r="C11" s="25" t="s">
        <v>995</v>
      </c>
      <c r="D11" s="25" t="s">
        <v>996</v>
      </c>
      <c r="E11" s="25" t="s">
        <v>481</v>
      </c>
      <c r="F11" s="25" t="s">
        <v>997</v>
      </c>
      <c r="G11" s="25" t="s">
        <v>998</v>
      </c>
      <c r="H11" s="25" t="s">
        <v>126</v>
      </c>
    </row>
    <row r="12" spans="1:8" ht="78" customHeight="1">
      <c r="A12" s="25" t="s">
        <v>999</v>
      </c>
      <c r="B12" s="25" t="s">
        <v>1000</v>
      </c>
      <c r="C12" s="25" t="s">
        <v>1001</v>
      </c>
      <c r="D12" s="25" t="s">
        <v>1002</v>
      </c>
      <c r="E12" s="25" t="s">
        <v>1003</v>
      </c>
      <c r="F12" s="25" t="s">
        <v>1004</v>
      </c>
      <c r="G12" s="25" t="s">
        <v>1005</v>
      </c>
      <c r="H12" s="25" t="s">
        <v>1006</v>
      </c>
    </row>
    <row r="13" spans="1:8" ht="78" customHeight="1">
      <c r="A13" s="25" t="s">
        <v>1007</v>
      </c>
      <c r="B13" s="25" t="s">
        <v>1008</v>
      </c>
      <c r="C13" s="25" t="s">
        <v>1009</v>
      </c>
      <c r="D13" s="25" t="s">
        <v>1010</v>
      </c>
      <c r="E13" s="25" t="s">
        <v>510</v>
      </c>
      <c r="F13" s="25" t="s">
        <v>1011</v>
      </c>
      <c r="G13" s="25" t="s">
        <v>1012</v>
      </c>
      <c r="H13" s="25" t="s">
        <v>1013</v>
      </c>
    </row>
    <row r="14" spans="1:8" ht="78" customHeight="1">
      <c r="A14" s="25" t="s">
        <v>1014</v>
      </c>
      <c r="B14" s="25" t="s">
        <v>1015</v>
      </c>
      <c r="C14" s="25" t="s">
        <v>1016</v>
      </c>
      <c r="D14" s="25" t="s">
        <v>1017</v>
      </c>
      <c r="E14" s="25" t="s">
        <v>1018</v>
      </c>
      <c r="F14" s="25" t="s">
        <v>1019</v>
      </c>
      <c r="G14" s="25" t="s">
        <v>1020</v>
      </c>
      <c r="H14" s="25" t="s">
        <v>1021</v>
      </c>
    </row>
    <row r="15" spans="1:8" ht="78" customHeight="1">
      <c r="A15" s="25" t="s">
        <v>1022</v>
      </c>
      <c r="B15" s="25" t="s">
        <v>1023</v>
      </c>
      <c r="C15" s="25" t="s">
        <v>1024</v>
      </c>
      <c r="D15" s="25" t="s">
        <v>1025</v>
      </c>
      <c r="E15" s="25" t="s">
        <v>1026</v>
      </c>
      <c r="F15" s="25" t="s">
        <v>1027</v>
      </c>
      <c r="G15" s="25" t="s">
        <v>1028</v>
      </c>
      <c r="H15" s="25" t="s">
        <v>1029</v>
      </c>
    </row>
    <row r="16" spans="1:8" ht="78" customHeight="1">
      <c r="A16" s="25" t="s">
        <v>1030</v>
      </c>
      <c r="B16" s="25" t="s">
        <v>1031</v>
      </c>
      <c r="C16" s="25" t="s">
        <v>1032</v>
      </c>
      <c r="D16" s="25" t="s">
        <v>1017</v>
      </c>
      <c r="E16" s="25" t="s">
        <v>406</v>
      </c>
      <c r="F16" s="25" t="s">
        <v>1033</v>
      </c>
      <c r="G16" s="25" t="s">
        <v>1034</v>
      </c>
      <c r="H16" s="25" t="s">
        <v>1035</v>
      </c>
    </row>
    <row r="17" spans="1:8" ht="78" customHeight="1">
      <c r="A17" s="25" t="s">
        <v>1036</v>
      </c>
      <c r="B17" s="25" t="s">
        <v>1037</v>
      </c>
      <c r="C17" s="25" t="s">
        <v>1038</v>
      </c>
      <c r="D17" s="25" t="s">
        <v>1017</v>
      </c>
      <c r="E17" s="25" t="s">
        <v>1039</v>
      </c>
      <c r="F17" s="25" t="s">
        <v>1033</v>
      </c>
      <c r="G17" s="25" t="s">
        <v>1040</v>
      </c>
      <c r="H17" s="25" t="s">
        <v>1041</v>
      </c>
    </row>
    <row r="18" spans="1:8" ht="78" customHeight="1">
      <c r="A18" s="25" t="s">
        <v>1042</v>
      </c>
      <c r="B18" s="25" t="s">
        <v>1043</v>
      </c>
      <c r="C18" s="25" t="s">
        <v>1044</v>
      </c>
      <c r="D18" s="25" t="s">
        <v>1045</v>
      </c>
      <c r="E18" s="25" t="s">
        <v>481</v>
      </c>
      <c r="F18" s="25" t="s">
        <v>1046</v>
      </c>
      <c r="G18" s="25" t="s">
        <v>1047</v>
      </c>
      <c r="H18" s="25" t="s">
        <v>1048</v>
      </c>
    </row>
    <row r="19" spans="1:8" ht="78" customHeight="1">
      <c r="A19" s="25" t="s">
        <v>1049</v>
      </c>
      <c r="B19" s="25" t="s">
        <v>1050</v>
      </c>
      <c r="C19" s="25" t="s">
        <v>1051</v>
      </c>
      <c r="D19" s="25" t="s">
        <v>1052</v>
      </c>
      <c r="E19" s="25" t="s">
        <v>481</v>
      </c>
      <c r="F19" s="25" t="s">
        <v>1053</v>
      </c>
      <c r="G19" s="25" t="s">
        <v>1054</v>
      </c>
      <c r="H19" s="25" t="s">
        <v>1055</v>
      </c>
    </row>
    <row r="20" spans="1:8" ht="78" customHeight="1">
      <c r="A20" s="25" t="s">
        <v>1056</v>
      </c>
      <c r="B20" s="25" t="s">
        <v>1057</v>
      </c>
      <c r="C20" s="25" t="s">
        <v>1058</v>
      </c>
      <c r="D20" s="25" t="s">
        <v>1059</v>
      </c>
      <c r="E20" s="25" t="s">
        <v>510</v>
      </c>
      <c r="F20" s="25" t="s">
        <v>1019</v>
      </c>
      <c r="G20" s="25" t="s">
        <v>1060</v>
      </c>
      <c r="H20" s="25" t="s">
        <v>1061</v>
      </c>
    </row>
    <row r="21" spans="1:8" ht="66" customHeight="1">
      <c r="A21" s="25" t="s">
        <v>1062</v>
      </c>
      <c r="B21" s="25" t="s">
        <v>1063</v>
      </c>
      <c r="C21" s="25" t="s">
        <v>1064</v>
      </c>
      <c r="D21" s="25" t="s">
        <v>1065</v>
      </c>
      <c r="E21" s="25" t="s">
        <v>1066</v>
      </c>
      <c r="F21" s="25" t="s">
        <v>1067</v>
      </c>
      <c r="G21" s="25" t="s">
        <v>1068</v>
      </c>
      <c r="H21" s="25" t="s">
        <v>1069</v>
      </c>
    </row>
    <row r="22" spans="1:8" ht="66" customHeight="1">
      <c r="A22" s="25" t="s">
        <v>1070</v>
      </c>
      <c r="B22" s="25" t="s">
        <v>1071</v>
      </c>
      <c r="C22" s="25" t="s">
        <v>1072</v>
      </c>
      <c r="D22" s="25" t="s">
        <v>1073</v>
      </c>
      <c r="E22" s="25" t="s">
        <v>510</v>
      </c>
      <c r="F22" s="25" t="s">
        <v>1074</v>
      </c>
      <c r="G22" s="25" t="s">
        <v>1075</v>
      </c>
      <c r="H22" s="25" t="s">
        <v>1076</v>
      </c>
    </row>
    <row r="23" spans="1:8" ht="52.7" customHeight="1">
      <c r="A23" s="25" t="s">
        <v>1077</v>
      </c>
      <c r="B23" s="25" t="s">
        <v>1078</v>
      </c>
      <c r="C23" s="25" t="s">
        <v>1079</v>
      </c>
      <c r="D23" s="25" t="s">
        <v>1080</v>
      </c>
      <c r="E23" s="25" t="s">
        <v>406</v>
      </c>
      <c r="F23" s="25" t="s">
        <v>1081</v>
      </c>
      <c r="G23" s="25" t="s">
        <v>1082</v>
      </c>
      <c r="H23" s="25" t="s">
        <v>1083</v>
      </c>
    </row>
    <row r="24" spans="1:8" ht="92.45" customHeight="1">
      <c r="A24" s="25" t="s">
        <v>1084</v>
      </c>
      <c r="B24" s="25" t="s">
        <v>1085</v>
      </c>
      <c r="C24" s="25" t="s">
        <v>1086</v>
      </c>
      <c r="D24" s="25" t="s">
        <v>1087</v>
      </c>
      <c r="E24" s="25" t="s">
        <v>406</v>
      </c>
      <c r="F24" s="25" t="s">
        <v>1088</v>
      </c>
      <c r="G24" s="25" t="s">
        <v>1089</v>
      </c>
      <c r="H24" s="25" t="s">
        <v>1090</v>
      </c>
    </row>
    <row r="25" spans="1:8" ht="81.95" customHeight="1">
      <c r="A25" s="25" t="s">
        <v>1091</v>
      </c>
      <c r="B25" s="25" t="s">
        <v>1092</v>
      </c>
      <c r="C25" s="25" t="s">
        <v>1093</v>
      </c>
      <c r="D25" s="25" t="s">
        <v>1094</v>
      </c>
      <c r="E25" s="25" t="s">
        <v>510</v>
      </c>
      <c r="F25" s="25" t="s">
        <v>1095</v>
      </c>
      <c r="G25" s="25" t="s">
        <v>1096</v>
      </c>
      <c r="H25" s="25" t="s">
        <v>1097</v>
      </c>
    </row>
  </sheetData>
  <mergeCells count="2">
    <mergeCell ref="A1:H1"/>
    <mergeCell ref="A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6"/>
  <sheetViews>
    <sheetView workbookViewId="0">
      <pane ySplit="3" topLeftCell="A4" activePane="bottomLeft" state="frozen"/>
      <selection pane="bottomLeft"/>
    </sheetView>
  </sheetViews>
  <sheetFormatPr defaultRowHeight="14.25"/>
  <cols>
    <col min="1" max="1" width="12" customWidth="1"/>
    <col min="2" max="2" width="16" customWidth="1"/>
    <col min="3" max="3" width="30" customWidth="1"/>
    <col min="4" max="4" width="72" customWidth="1"/>
    <col min="5" max="5" width="70" customWidth="1"/>
  </cols>
  <sheetData>
    <row r="1" spans="1:5" ht="18">
      <c r="A1" s="47" t="s">
        <v>1098</v>
      </c>
      <c r="B1" s="47"/>
      <c r="C1" s="47"/>
      <c r="D1" s="47"/>
      <c r="E1" s="47"/>
    </row>
    <row r="3" spans="1:5" ht="32.1" customHeight="1">
      <c r="A3" s="24" t="s">
        <v>1099</v>
      </c>
      <c r="B3" s="24" t="s">
        <v>1100</v>
      </c>
      <c r="C3" s="24" t="s">
        <v>212</v>
      </c>
      <c r="D3" s="24" t="s">
        <v>1101</v>
      </c>
      <c r="E3" s="24" t="s">
        <v>948</v>
      </c>
    </row>
    <row r="4" spans="1:5" ht="69.95" customHeight="1">
      <c r="A4" s="25" t="s">
        <v>1102</v>
      </c>
      <c r="B4" s="25" t="s">
        <v>1103</v>
      </c>
      <c r="C4" s="25" t="s">
        <v>1104</v>
      </c>
      <c r="D4" s="25" t="s">
        <v>1105</v>
      </c>
      <c r="E4" s="25" t="s">
        <v>1106</v>
      </c>
    </row>
    <row r="5" spans="1:5" ht="69.95" customHeight="1">
      <c r="A5" s="25" t="s">
        <v>1107</v>
      </c>
      <c r="B5" s="25" t="s">
        <v>1108</v>
      </c>
      <c r="C5" s="25" t="s">
        <v>1109</v>
      </c>
      <c r="D5" s="25" t="s">
        <v>1110</v>
      </c>
      <c r="E5" s="25" t="s">
        <v>1111</v>
      </c>
    </row>
    <row r="6" spans="1:5" ht="117.95" customHeight="1">
      <c r="A6" s="25" t="s">
        <v>1112</v>
      </c>
      <c r="B6" s="25" t="s">
        <v>1113</v>
      </c>
      <c r="C6" s="25" t="s">
        <v>1114</v>
      </c>
      <c r="D6" s="25" t="s">
        <v>1115</v>
      </c>
      <c r="E6" s="25" t="s">
        <v>1116</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
  <sheetViews>
    <sheetView workbookViewId="0"/>
  </sheetViews>
  <sheetFormatPr defaultRowHeight="14.25"/>
  <cols>
    <col min="1" max="1" width="10" customWidth="1"/>
    <col min="2" max="2" width="9" customWidth="1"/>
    <col min="3" max="3" width="27" customWidth="1"/>
    <col min="4" max="4" width="44" customWidth="1"/>
    <col min="5" max="5" width="53" customWidth="1"/>
    <col min="6" max="6" width="42" customWidth="1"/>
  </cols>
  <sheetData>
    <row r="1" spans="1:6" ht="30" customHeight="1">
      <c r="A1" s="57" t="s">
        <v>1117</v>
      </c>
      <c r="B1" s="57"/>
      <c r="C1" s="57"/>
      <c r="D1" s="57"/>
      <c r="E1" s="57"/>
      <c r="F1" s="57"/>
    </row>
    <row r="2" spans="1:6" ht="123.95" customHeight="1">
      <c r="A2" s="58" t="s">
        <v>1118</v>
      </c>
      <c r="B2" s="58"/>
      <c r="C2" s="58"/>
      <c r="D2" s="58"/>
      <c r="E2" s="58"/>
      <c r="F2" s="58"/>
    </row>
    <row r="4" spans="1:6" ht="32.1" customHeight="1">
      <c r="A4" s="31" t="s">
        <v>54</v>
      </c>
      <c r="B4" s="31" t="s">
        <v>61</v>
      </c>
      <c r="C4" s="31" t="s">
        <v>1119</v>
      </c>
      <c r="D4" s="31" t="s">
        <v>1120</v>
      </c>
      <c r="E4" s="31" t="s">
        <v>1121</v>
      </c>
      <c r="F4" s="31" t="s">
        <v>1122</v>
      </c>
    </row>
    <row r="5" spans="1:6" ht="63.95" customHeight="1">
      <c r="A5" s="25" t="s">
        <v>70</v>
      </c>
      <c r="B5" s="25">
        <v>1</v>
      </c>
      <c r="C5" s="25" t="s">
        <v>1123</v>
      </c>
      <c r="D5" s="25" t="s">
        <v>1124</v>
      </c>
      <c r="E5" s="25" t="s">
        <v>1125</v>
      </c>
      <c r="F5" s="25" t="s">
        <v>76</v>
      </c>
    </row>
    <row r="6" spans="1:6" ht="63.95" customHeight="1">
      <c r="A6" s="25" t="s">
        <v>82</v>
      </c>
      <c r="B6" s="25">
        <v>4</v>
      </c>
      <c r="C6" s="25" t="s">
        <v>1126</v>
      </c>
      <c r="D6" s="25" t="s">
        <v>1127</v>
      </c>
      <c r="E6" s="25" t="s">
        <v>1128</v>
      </c>
      <c r="F6" s="25" t="s">
        <v>86</v>
      </c>
    </row>
    <row r="7" spans="1:6" ht="95.1" customHeight="1">
      <c r="A7" s="25" t="s">
        <v>90</v>
      </c>
      <c r="B7" s="25">
        <v>3</v>
      </c>
      <c r="C7" s="25" t="s">
        <v>1129</v>
      </c>
      <c r="D7" s="25" t="s">
        <v>1130</v>
      </c>
      <c r="E7" s="25" t="s">
        <v>1131</v>
      </c>
      <c r="F7" s="25" t="s">
        <v>91</v>
      </c>
    </row>
    <row r="8" spans="1:6" ht="63.95" customHeight="1">
      <c r="A8" s="25" t="s">
        <v>93</v>
      </c>
      <c r="B8" s="25">
        <v>5</v>
      </c>
      <c r="C8" s="25" t="s">
        <v>1132</v>
      </c>
      <c r="D8" s="25" t="s">
        <v>1133</v>
      </c>
      <c r="E8" s="25" t="s">
        <v>1134</v>
      </c>
      <c r="F8" s="25" t="s">
        <v>97</v>
      </c>
    </row>
    <row r="9" spans="1:6" ht="63.95" customHeight="1">
      <c r="A9" s="25" t="s">
        <v>101</v>
      </c>
      <c r="B9" s="25">
        <v>1</v>
      </c>
      <c r="C9" s="25" t="s">
        <v>1135</v>
      </c>
      <c r="D9" s="25" t="s">
        <v>1136</v>
      </c>
      <c r="E9" s="25" t="s">
        <v>1137</v>
      </c>
      <c r="F9" s="25" t="s">
        <v>105</v>
      </c>
    </row>
    <row r="10" spans="1:6" ht="63.95" customHeight="1">
      <c r="A10" s="25" t="s">
        <v>109</v>
      </c>
      <c r="B10" s="25">
        <v>2</v>
      </c>
      <c r="C10" s="25" t="s">
        <v>1138</v>
      </c>
      <c r="D10" s="25" t="s">
        <v>1139</v>
      </c>
      <c r="E10" s="25" t="s">
        <v>1140</v>
      </c>
      <c r="F10" s="25" t="s">
        <v>113</v>
      </c>
    </row>
    <row r="11" spans="1:6" ht="63.95" customHeight="1">
      <c r="A11" s="25" t="s">
        <v>118</v>
      </c>
      <c r="B11" s="25">
        <v>1</v>
      </c>
      <c r="C11" s="25" t="s">
        <v>1141</v>
      </c>
      <c r="D11" s="25" t="s">
        <v>1142</v>
      </c>
      <c r="E11" s="25" t="s">
        <v>1143</v>
      </c>
      <c r="F11" s="25" t="s">
        <v>122</v>
      </c>
    </row>
    <row r="12" spans="1:6" ht="63.95" customHeight="1">
      <c r="A12" s="25" t="s">
        <v>127</v>
      </c>
      <c r="B12" s="25">
        <v>2</v>
      </c>
      <c r="C12" s="25" t="s">
        <v>1144</v>
      </c>
      <c r="D12" s="25" t="s">
        <v>1145</v>
      </c>
      <c r="E12" s="25" t="s">
        <v>1146</v>
      </c>
      <c r="F12" s="25" t="s">
        <v>1147</v>
      </c>
    </row>
    <row r="13" spans="1:6" ht="63.95" customHeight="1">
      <c r="A13" s="25" t="s">
        <v>131</v>
      </c>
      <c r="B13" s="25">
        <v>1</v>
      </c>
      <c r="C13" s="25" t="s">
        <v>1148</v>
      </c>
      <c r="D13" s="25" t="s">
        <v>1149</v>
      </c>
      <c r="E13" s="25" t="s">
        <v>1150</v>
      </c>
      <c r="F13" s="25" t="s">
        <v>135</v>
      </c>
    </row>
    <row r="14" spans="1:6" ht="63.95" customHeight="1">
      <c r="A14" s="25" t="s">
        <v>140</v>
      </c>
      <c r="B14" s="25">
        <v>1</v>
      </c>
      <c r="C14" s="25" t="s">
        <v>1151</v>
      </c>
      <c r="D14" s="25" t="s">
        <v>1152</v>
      </c>
      <c r="E14" s="25" t="s">
        <v>1153</v>
      </c>
      <c r="F14" s="25" t="s">
        <v>144</v>
      </c>
    </row>
    <row r="15" spans="1:6" ht="63.95" customHeight="1">
      <c r="A15" s="25" t="s">
        <v>149</v>
      </c>
      <c r="B15" s="25">
        <v>1</v>
      </c>
      <c r="C15" s="25" t="s">
        <v>1154</v>
      </c>
      <c r="D15" s="25" t="s">
        <v>1155</v>
      </c>
      <c r="E15" s="25" t="s">
        <v>1156</v>
      </c>
      <c r="F15" s="25" t="s">
        <v>642</v>
      </c>
    </row>
    <row r="16" spans="1:6" ht="63.95" customHeight="1">
      <c r="A16" s="25" t="s">
        <v>150</v>
      </c>
      <c r="B16" s="25">
        <v>1</v>
      </c>
      <c r="C16" s="25" t="s">
        <v>1157</v>
      </c>
      <c r="D16" s="25" t="s">
        <v>1158</v>
      </c>
      <c r="E16" s="25" t="s">
        <v>1159</v>
      </c>
      <c r="F16" s="25" t="s">
        <v>1160</v>
      </c>
    </row>
    <row r="17" spans="1:6" ht="63.95" customHeight="1">
      <c r="A17" s="25" t="s">
        <v>891</v>
      </c>
      <c r="B17" s="25">
        <v>1</v>
      </c>
      <c r="C17" s="25" t="s">
        <v>1161</v>
      </c>
      <c r="D17" s="25" t="s">
        <v>1162</v>
      </c>
      <c r="E17" s="25" t="s">
        <v>1163</v>
      </c>
      <c r="F17" s="25" t="s">
        <v>844</v>
      </c>
    </row>
    <row r="18" spans="1:6" ht="63.95" customHeight="1">
      <c r="A18" s="25" t="s">
        <v>896</v>
      </c>
      <c r="B18" s="25">
        <v>1</v>
      </c>
      <c r="C18" s="25" t="s">
        <v>1161</v>
      </c>
      <c r="D18" s="25" t="s">
        <v>1164</v>
      </c>
      <c r="E18" s="25" t="s">
        <v>1165</v>
      </c>
      <c r="F18" s="25" t="s">
        <v>844</v>
      </c>
    </row>
    <row r="19" spans="1:6" ht="63.95" customHeight="1">
      <c r="A19" s="25" t="s">
        <v>906</v>
      </c>
      <c r="B19" s="25">
        <v>1</v>
      </c>
      <c r="C19" s="25" t="s">
        <v>1166</v>
      </c>
      <c r="D19" s="25" t="s">
        <v>1167</v>
      </c>
      <c r="E19" s="25" t="s">
        <v>1168</v>
      </c>
      <c r="F19" s="25" t="s">
        <v>1169</v>
      </c>
    </row>
    <row r="20" spans="1:6" ht="63.95" customHeight="1">
      <c r="A20" s="25" t="s">
        <v>910</v>
      </c>
      <c r="B20" s="25">
        <v>1</v>
      </c>
      <c r="C20" s="25" t="s">
        <v>1170</v>
      </c>
      <c r="D20" s="25" t="s">
        <v>1171</v>
      </c>
      <c r="E20" s="25" t="s">
        <v>1172</v>
      </c>
      <c r="F20" s="25" t="s">
        <v>1173</v>
      </c>
    </row>
    <row r="21" spans="1:6" ht="63.95" customHeight="1">
      <c r="A21" s="25" t="s">
        <v>922</v>
      </c>
      <c r="B21" s="25">
        <v>1</v>
      </c>
      <c r="C21" s="25" t="s">
        <v>1174</v>
      </c>
      <c r="D21" s="25" t="s">
        <v>1175</v>
      </c>
      <c r="E21" s="25" t="s">
        <v>1176</v>
      </c>
      <c r="F21" s="25" t="s">
        <v>1169</v>
      </c>
    </row>
    <row r="22" spans="1:6" ht="63.95" customHeight="1">
      <c r="A22" s="25" t="s">
        <v>929</v>
      </c>
      <c r="B22" s="25">
        <v>0</v>
      </c>
      <c r="C22" s="25" t="s">
        <v>1177</v>
      </c>
      <c r="D22" s="25" t="s">
        <v>1178</v>
      </c>
      <c r="E22" s="25" t="s">
        <v>1179</v>
      </c>
      <c r="F22" s="25" t="s">
        <v>701</v>
      </c>
    </row>
    <row r="23" spans="1:6" ht="63.95" customHeight="1">
      <c r="A23" s="25" t="s">
        <v>870</v>
      </c>
      <c r="B23" s="25">
        <v>0</v>
      </c>
      <c r="C23" s="25" t="s">
        <v>1180</v>
      </c>
      <c r="D23" s="25" t="s">
        <v>1181</v>
      </c>
      <c r="E23" s="25" t="s">
        <v>1182</v>
      </c>
      <c r="F23" s="25" t="s">
        <v>1183</v>
      </c>
    </row>
    <row r="24" spans="1:6" ht="63.95" customHeight="1">
      <c r="A24" s="25" t="s">
        <v>202</v>
      </c>
      <c r="B24" s="25">
        <v>0</v>
      </c>
      <c r="C24" s="25" t="s">
        <v>1184</v>
      </c>
      <c r="D24" s="25" t="s">
        <v>1185</v>
      </c>
      <c r="E24" s="25" t="s">
        <v>1186</v>
      </c>
      <c r="F24" s="25" t="s">
        <v>1187</v>
      </c>
    </row>
    <row r="25" spans="1:6" ht="63.95" customHeight="1">
      <c r="A25" s="25" t="s">
        <v>877</v>
      </c>
      <c r="B25" s="25">
        <v>0</v>
      </c>
      <c r="C25" s="25" t="s">
        <v>1188</v>
      </c>
      <c r="D25" s="25" t="s">
        <v>1189</v>
      </c>
      <c r="E25" s="25" t="s">
        <v>1190</v>
      </c>
      <c r="F25" s="25" t="s">
        <v>1191</v>
      </c>
    </row>
    <row r="26" spans="1:6" ht="63.95" customHeight="1">
      <c r="A26" s="25" t="s">
        <v>884</v>
      </c>
      <c r="B26" s="25">
        <v>1</v>
      </c>
      <c r="C26" s="25" t="s">
        <v>1192</v>
      </c>
      <c r="D26" s="25" t="s">
        <v>1193</v>
      </c>
      <c r="E26" s="25" t="s">
        <v>1194</v>
      </c>
      <c r="F26" s="25" t="s">
        <v>126</v>
      </c>
    </row>
    <row r="27" spans="1:6" ht="63.95" customHeight="1">
      <c r="A27" s="25" t="s">
        <v>900</v>
      </c>
      <c r="B27" s="25">
        <v>0</v>
      </c>
      <c r="C27" s="25" t="s">
        <v>1195</v>
      </c>
      <c r="D27" s="25" t="s">
        <v>1196</v>
      </c>
      <c r="E27" s="25" t="s">
        <v>1197</v>
      </c>
      <c r="F27" s="25" t="s">
        <v>1198</v>
      </c>
    </row>
    <row r="28" spans="1:6" ht="63.95" customHeight="1">
      <c r="A28" s="25" t="s">
        <v>915</v>
      </c>
      <c r="B28" s="25">
        <v>0</v>
      </c>
      <c r="C28" s="25" t="s">
        <v>1199</v>
      </c>
      <c r="D28" s="25" t="s">
        <v>1200</v>
      </c>
      <c r="E28" s="25" t="s">
        <v>1201</v>
      </c>
      <c r="F28" s="25" t="s">
        <v>1202</v>
      </c>
    </row>
  </sheetData>
  <mergeCells count="2">
    <mergeCell ref="A1:F1"/>
    <mergeCell ref="A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
  <sheetViews>
    <sheetView workbookViewId="0">
      <pane ySplit="5" topLeftCell="A6" activePane="bottomLeft" state="frozen"/>
      <selection pane="bottomLeft"/>
    </sheetView>
  </sheetViews>
  <sheetFormatPr defaultRowHeight="14.25"/>
  <cols>
    <col min="1" max="2" width="26" customWidth="1"/>
    <col min="3" max="3" width="18" customWidth="1"/>
    <col min="4" max="4" width="15" customWidth="1"/>
    <col min="5" max="5" width="14" customWidth="1"/>
    <col min="6" max="8" width="22" customWidth="1"/>
    <col min="9" max="9" width="60" customWidth="1"/>
  </cols>
  <sheetData>
    <row r="1" spans="1:9" ht="30" customHeight="1">
      <c r="A1" s="59" t="s">
        <v>1203</v>
      </c>
      <c r="B1" s="59"/>
      <c r="C1" s="59"/>
      <c r="D1" s="59"/>
      <c r="E1" s="59"/>
      <c r="F1" s="59"/>
      <c r="G1" s="59"/>
      <c r="H1" s="59"/>
      <c r="I1" s="59"/>
    </row>
    <row r="2" spans="1:9" ht="51.95" customHeight="1">
      <c r="A2" s="60" t="s">
        <v>1204</v>
      </c>
      <c r="B2" s="60"/>
      <c r="C2" s="60"/>
      <c r="D2" s="60"/>
      <c r="E2" s="60"/>
      <c r="F2" s="60"/>
      <c r="G2" s="60"/>
      <c r="H2" s="60"/>
      <c r="I2" s="60"/>
    </row>
    <row r="3" spans="1:9" ht="42" customHeight="1">
      <c r="A3" s="32" t="s">
        <v>1205</v>
      </c>
      <c r="B3" s="32" t="s">
        <v>1113</v>
      </c>
      <c r="C3" s="32" t="s">
        <v>1206</v>
      </c>
      <c r="D3" s="38">
        <v>55.2896</v>
      </c>
      <c r="E3" s="32" t="s">
        <v>1207</v>
      </c>
      <c r="F3" s="39">
        <v>0.2</v>
      </c>
      <c r="G3" s="32" t="s">
        <v>1208</v>
      </c>
      <c r="H3" s="61" t="s">
        <v>1209</v>
      </c>
      <c r="I3" s="62"/>
    </row>
    <row r="5" spans="1:9" ht="54" customHeight="1">
      <c r="A5" s="33" t="s">
        <v>1210</v>
      </c>
      <c r="B5" s="33" t="s">
        <v>1211</v>
      </c>
      <c r="C5" s="33" t="s">
        <v>1212</v>
      </c>
      <c r="D5" s="33" t="s">
        <v>1213</v>
      </c>
      <c r="E5" s="33" t="s">
        <v>1207</v>
      </c>
      <c r="F5" s="33" t="s">
        <v>1214</v>
      </c>
      <c r="G5" s="33" t="s">
        <v>1215</v>
      </c>
      <c r="H5" s="33" t="s">
        <v>1216</v>
      </c>
      <c r="I5" s="33" t="s">
        <v>1217</v>
      </c>
    </row>
    <row r="6" spans="1:9" ht="92.1" customHeight="1">
      <c r="A6" s="25" t="s">
        <v>1218</v>
      </c>
      <c r="B6" s="25" t="s">
        <v>673</v>
      </c>
      <c r="C6" s="34">
        <v>2.46</v>
      </c>
      <c r="D6" s="35">
        <f>$D$3</f>
        <v>55.2896</v>
      </c>
      <c r="E6" s="36">
        <f>$F$3</f>
        <v>0.2</v>
      </c>
      <c r="F6" s="37">
        <f>C6*D6*(1+E6)</f>
        <v>163.21489919999999</v>
      </c>
      <c r="G6" s="37">
        <v>234.9</v>
      </c>
      <c r="H6" s="37">
        <f>F6-G6</f>
        <v>-71.685100800000015</v>
      </c>
      <c r="I6" s="25" t="s">
        <v>1219</v>
      </c>
    </row>
    <row r="7" spans="1:9" ht="92.1" customHeight="1">
      <c r="A7" s="25" t="s">
        <v>1220</v>
      </c>
      <c r="B7" s="25" t="s">
        <v>226</v>
      </c>
      <c r="C7" s="34">
        <v>1.05</v>
      </c>
      <c r="D7" s="35">
        <f>$D$3</f>
        <v>55.2896</v>
      </c>
      <c r="E7" s="36">
        <f>$F$3</f>
        <v>0.2</v>
      </c>
      <c r="F7" s="37">
        <f>C7*D7*(1+E7)</f>
        <v>69.664895999999999</v>
      </c>
      <c r="G7" s="37">
        <v>58.45</v>
      </c>
      <c r="H7" s="37">
        <f>F7-G7</f>
        <v>11.214895999999996</v>
      </c>
      <c r="I7" s="25" t="s">
        <v>1221</v>
      </c>
    </row>
    <row r="9" spans="1:9" ht="42" customHeight="1">
      <c r="A9" s="63" t="s">
        <v>1222</v>
      </c>
      <c r="B9" s="63"/>
      <c r="C9" s="63"/>
      <c r="D9" s="63"/>
      <c r="E9" s="63"/>
      <c r="F9" s="63"/>
      <c r="G9" s="63"/>
      <c r="H9" s="63"/>
      <c r="I9" s="63"/>
    </row>
    <row r="10" spans="1:9" ht="51.95" customHeight="1">
      <c r="A10" s="63" t="s">
        <v>1223</v>
      </c>
      <c r="B10" s="63"/>
      <c r="C10" s="63"/>
      <c r="D10" s="63"/>
      <c r="E10" s="63"/>
      <c r="F10" s="63"/>
      <c r="G10" s="63"/>
      <c r="H10" s="63"/>
      <c r="I10" s="63"/>
    </row>
  </sheetData>
  <mergeCells count="5">
    <mergeCell ref="A1:I1"/>
    <mergeCell ref="A2:I2"/>
    <mergeCell ref="H3:I3"/>
    <mergeCell ref="A9:I9"/>
    <mergeCell ref="A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12</vt:i4>
      </vt:variant>
    </vt:vector>
  </HeadingPairs>
  <TitlesOfParts>
    <vt:vector size="12" baseType="lpstr">
      <vt:lpstr>NOTLAR</vt:lpstr>
      <vt:lpstr>Satın_Alma</vt:lpstr>
      <vt:lpstr>ANA_BOM</vt:lpstr>
      <vt:lpstr>Dönüştürücü_Karşılaştırma</vt:lpstr>
      <vt:lpstr>Test_Matrisi</vt:lpstr>
      <vt:lpstr>Alternatifler</vt:lpstr>
      <vt:lpstr>Sipariş_Kayıt</vt:lpstr>
      <vt:lpstr>Rev02_Ek_Kalemler</vt:lpstr>
      <vt:lpstr>Rev02_Karar_Aksiyon</vt:lpstr>
      <vt:lpstr>Revizyon_Gecmisi</vt:lpstr>
      <vt:lpstr>Sipariş_Hazırlık</vt:lpstr>
      <vt:lpstr>Fiyat_Kontrol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Özgür Ozan YILDIZ</dc:creator>
  <cp:lastModifiedBy>ÖZGÜR OZAN YILDIZ</cp:lastModifiedBy>
  <dcterms:created xsi:type="dcterms:W3CDTF">2026-10-13T20:21:18Z</dcterms:created>
  <dcterms:modified xsi:type="dcterms:W3CDTF">2026-10-13T20:21:19Z</dcterms:modified>
</cp:coreProperties>
</file>