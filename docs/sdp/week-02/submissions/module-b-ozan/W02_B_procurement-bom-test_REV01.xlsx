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17664658c84e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TLAR" sheetId="1" r:id="Rffcbd37ffbab4298"/>
    <x:sheet xmlns:r="http://schemas.openxmlformats.org/officeDocument/2006/relationships" name="Satın_Alma" sheetId="2" r:id="Ref2ec7708bd04b96"/>
    <x:sheet xmlns:r="http://schemas.openxmlformats.org/officeDocument/2006/relationships" name="ANA_BOM" sheetId="3" r:id="R9bdb76c6d99c449b"/>
    <x:sheet xmlns:r="http://schemas.openxmlformats.org/officeDocument/2006/relationships" name="Dönüştürücü_Karşılaştırma" sheetId="4" r:id="Ra2cbbd14cddd44a7"/>
    <x:sheet xmlns:r="http://schemas.openxmlformats.org/officeDocument/2006/relationships" name="Test_Matrisi" sheetId="5" r:id="R474a952d90ce4e08"/>
    <x:sheet xmlns:r="http://schemas.openxmlformats.org/officeDocument/2006/relationships" name="Alternatifler" sheetId="6" r:id="Rfc311225f1de4f60"/>
    <x:sheet xmlns:r="http://schemas.openxmlformats.org/officeDocument/2006/relationships" name="Sipariş_Kayıt" sheetId="7" r:id="Rdf17666992214976"/>
  </x:sheets>
</x:workbook>
</file>

<file path=xl/sharedStrings.xml><?xml version="1.0" encoding="utf-8"?>
<x:sst xmlns:x="http://schemas.openxmlformats.org/spreadsheetml/2006/main">
  <x:si>
    <x:t xml:space="preserve">DİJİTAL STETOSKOP — SATIN ALMA VE TEST ÇALIŞMA KİTABI | REV01</x:t>
  </x:si>
  <x:si>
    <x:t xml:space="preserve">Bu çalışma kitabı, sistem tasarımı kapsamındaki satın alma, BOM, dönüştürücü karşılaştırması ve doğrulama kayıtlarını içerir. Teknik adaylar 3. haftada ekipçe gözden geçirilir; gereksinim ve sipariş dondurma 4. hafta kapısında gerçekleştirilir.</x:t>
  </x:si>
  <x:si>
    <x:t xml:space="preserve">Bölüm</x:t>
  </x:si>
  <x:si>
    <x:t xml:space="preserve">Kural / Anlam</x:t>
  </x:si>
  <x:si>
    <x:t xml:space="preserve">Açıklama</x:t>
  </x:si>
  <x:si>
    <x:t xml:space="preserve">Amaç</x:t>
  </x:si>
  <x:si>
    <x:t xml:space="preserve">Tek dosyada satın alma + BOM + test + seçim kayıtları</x:t>
  </x:si>
  <x:si>
    <x:t xml:space="preserve">Bu dosya satın alma + BOM + test + seçim kayıtlarını tek yerde tutar. Nihai üretim BOM'u, seçilen mimari ve yapım seviyesi kesinleşince türetilir.</x:t>
  </x:si>
  <x:si>
    <x:t xml:space="preserve">Rev01 kapsamı</x:t>
  </x:si>
  <x:si>
    <x:t xml:space="preserve">1 ECM + 1 MEMS ailesi karşılaştırması</x:t>
  </x:si>
  <x:si>
    <x:t xml:space="preserve">Parça numaraları 3. hafta aday seçiminde netleştirilir. ECM için tek aile: Kingstate ana aday, Same Sky yedek; MEMS sensör PUI'dır.</x:t>
  </x:si>
  <x:si>
    <x:t xml:space="preserve">Prototipleme</x:t>
  </x:si>
  <x:si>
    <x:t xml:space="preserve">2 yaklaşım</x:t>
  </x:si>
  <x:si>
    <x:t xml:space="preserve">Breadboard + lehimli prototip zorunlu karşılaştırmadır. Özel PCB yalnız ölçümle gerekçelendirilirse koşullu.</x:t>
  </x:si>
  <x:si>
    <x:t xml:space="preserve">Veri seti</x:t>
  </x:si>
  <x:si>
    <x:t xml:space="preserve">CirCor DigiScope</x:t>
  </x:si>
  <x:si>
    <x:t xml:space="preserve">Birincil veri seti sabit tutulur; fiziksel doğrulama akustik fantomla yapılır.</x:t>
  </x:si>
  <x:si>
    <x:t xml:space="preserve">İnsan verisi</x:t>
  </x:si>
  <x:si>
    <x:t xml:space="preserve">Kullanılmaz</x:t>
  </x:si>
  <x:si>
    <x:t xml:space="preserve">Fiziksel doğrulama yalnız akustik fantom üzerinde yapılır; ekip üyelerinden dahi kayıt alınmaz.</x:t>
  </x:si>
  <x:si>
    <x:t xml:space="preserve">Sonuç üretimi</x:t>
  </x:si>
  <x:si>
    <x:t xml:space="preserve">Otomatik / betik tabanlı</x:t>
  </x:si>
  <x:si>
    <x:t xml:space="preserve">Ölçüm sonucu uydurulmaz; sayısal sonuçlar betikle üretilebilir olmalıdır.</x:t>
  </x:si>
  <x:si>
    <x:t xml:space="preserve">SATIN ALMA RENK KODU</x:t>
  </x:si>
  <x:si>
    <x:t xml:space="preserve">Renk</x:t>
  </x:si>
  <x:si>
    <x:t xml:space="preserve">Grup</x:t>
  </x:si>
  <x:si>
    <x:t xml:space="preserve">Zaman</x:t>
  </x:si>
  <x:si>
    <x:t xml:space="preserve">Anlam</x:t>
  </x:si>
  <x:si>
    <x:t xml:space="preserve">YEŞİL</x:t>
  </x:si>
  <x:si>
    <x:t xml:space="preserve">GRUP A — HEMEN AL</x:t>
  </x:si>
  <x:si>
    <x:t xml:space="preserve">1. dönem / 4. hafta öncesi</x:t>
  </x:si>
  <x:si>
    <x:t xml:space="preserve">İlk deneyler ve 1. dönem ders kapıları için gerekli.</x:t>
  </x:si>
  <x:si>
    <x:t xml:space="preserve">MAVİ</x:t>
  </x:si>
  <x:si>
    <x:t xml:space="preserve">GRUP B — 2. DÖNEMDE AL</x:t>
  </x:si>
  <x:si>
    <x:t xml:space="preserve">2. dönem</x:t>
  </x:si>
  <x:si>
    <x:t xml:space="preserve">Lehimli prototip ve ikinci dönem çalışmaları.</x:t>
  </x:si>
  <x:si>
    <x:t xml:space="preserve">SARI</x:t>
  </x:si>
  <x:si>
    <x:t xml:space="preserve">OPSİYONEL / KOŞULLU</x:t>
  </x:si>
  <x:si>
    <x:t xml:space="preserve">Gerektiğinde</x:t>
  </x:si>
  <x:si>
    <x:t xml:space="preserve">PPG ve özel PCB gibi çekirdek dışı veya ölçüme bağlı kalemler.</x:t>
  </x:si>
  <x:si>
    <x:t xml:space="preserve">GRİ</x:t>
  </x:si>
  <x:si>
    <x:t xml:space="preserve">GRUP C — BÖLÜMDEN TEMİN</x:t>
  </x:si>
  <x:si>
    <x:t xml:space="preserve">İlk 3 hafta kontrol</x:t>
  </x:si>
  <x:si>
    <x:t xml:space="preserve">Satın alınmaz; bölüm/laboratuvardan ödünç alınır.</x:t>
  </x:si>
  <x:si>
    <x:t xml:space="preserve">DANIŞMAN BELGELERİNDEN GELEN TEMEL KURALLAR</x:t>
  </x:si>
  <x:si>
    <x:t xml:space="preserve">No</x:t>
  </x:si>
  <x:si>
    <x:t xml:space="preserve">Kural</x:t>
  </x:si>
  <x:si>
    <x:t xml:space="preserve">Uygulama</x:t>
  </x:si>
  <x:si>
    <x:t xml:space="preserve">Gereksinimler ölçülebilir ve doğrulanabilir olmalıdır.</x:t>
  </x:si>
  <x:si>
    <x:t xml:space="preserve">Her gereksinim test edilebilir bir kabul kriterine bağlanır.</x:t>
  </x:si>
  <x:si>
    <x:t xml:space="preserve">Çekirdek edinim zinciri bağımsız olarak bilinen bir girdiye karşı doğrulanmalıdır.</x:t>
  </x:si>
  <x:si>
    <x:t xml:space="preserve">Akustik fantom + bilinen veri seti kaydı + sayısal karşılaştırma.</x:t>
  </x:si>
  <x:si>
    <x:t xml:space="preserve">Ders kapıları: 1. dönem 5. hafta, 1. dönem 9. hafta, 2. dönem 7. hafta.</x:t>
  </x:si>
  <x:si>
    <x:t xml:space="preserve">Test Matrisi sayfasında bu üç kapı doğrudan kullanılır.</x:t>
  </x:si>
  <x:si>
    <x:t xml:space="preserve">Araç zinciri ve veri seti başlangıçta seçilir; sonrasında değiştirilmez.</x:t>
  </x:si>
  <x:si>
    <x:t xml:space="preserve">C firmware + Python PC ve CirCor DigiScope sabit tutulur.</x:t>
  </x:si>
  <x:si>
    <x:t xml:space="preserve">Grup A 4. haftaya kadar; Grup B 2. dönem; Grup C bölümden ödünç.</x:t>
  </x:si>
  <x:si>
    <x:t xml:space="preserve">Satın Alma sayfası renklerle ayırır.</x:t>
  </x:si>
  <x:si>
    <x:t xml:space="preserve">SATIN ALMA PLANI — GRUP A / B / C | REV01</x:t>
  </x:si>
  <x:si>
    <x:t xml:space="preserve">Grup A kalemleri için Türkiye'den erişilebilir adaylar, fiyat/stok notları ve yedek seçenekler girilmiştir. Siparişler 3. hafta seçim ve 4. hafta sipariş kapısı üzerinden yürütülür.</x:t>
  </x:si>
  <x:si>
    <x:t xml:space="preserve">Kalem</x:t>
  </x:si>
  <x:si>
    <x:t xml:space="preserve">Öncelik</x:t>
  </x:si>
  <x:si>
    <x:t xml:space="preserve">Ürün / Parça</x:t>
  </x:si>
  <x:si>
    <x:t xml:space="preserve">Ana Aday / MPN</x:t>
  </x:si>
  <x:si>
    <x:t xml:space="preserve">Tedarikçi</x:t>
  </x:si>
  <x:si>
    <x:t xml:space="preserve">Ürün Bağlantısı</x:t>
  </x:si>
  <x:si>
    <x:t xml:space="preserve">Adet</x:t>
  </x:si>
  <x:si>
    <x:t xml:space="preserve">Birim Fiyat (TRY)</x:t>
  </x:si>
  <x:si>
    <x:t xml:space="preserve">Toplam (TRY)</x:t>
  </x:si>
  <x:si>
    <x:t xml:space="preserve">Stok / Uygunluk</x:t>
  </x:si>
  <x:si>
    <x:t xml:space="preserve">Teslim Süresi</x:t>
  </x:si>
  <x:si>
    <x:t xml:space="preserve">Yedek / Alternatif</x:t>
  </x:si>
  <x:si>
    <x:t xml:space="preserve">Yedek Bağlantısı</x:t>
  </x:si>
  <x:si>
    <x:t xml:space="preserve">Kapı / Aşama</x:t>
  </x:si>
  <x:si>
    <x:t xml:space="preserve">Teknik Not / Karar Durumu</x:t>
  </x:si>
  <x:si>
    <x:t xml:space="preserve">A-01</x:t>
  </x:si>
  <x:si>
    <x:t xml:space="preserve">GRUP A</x:t>
  </x:si>
  <x:si>
    <x:t xml:space="preserve">P1</x:t>
  </x:si>
  <x:si>
    <x:t xml:space="preserve">Akustik stetoskop / örnek göğüs başlığı</x:t>
  </x:si>
  <x:si>
    <x:t xml:space="preserve">Medikaltec Klasik Steteskop</x:t>
  </x:si>
  <x:si>
    <x:t xml:space="preserve">Medikaltec</x:t>
  </x:si>
  <x:si>
    <x:t xml:space="preserve">https://www.medikaltec.com.tr/kategori/steteskop?marka=medikaltec&amp;ozellikler=tip-1%3Astandart-medikal-urun</x:t>
  </x:si>
  <x:si>
    <x:t xml:space="preserve">Sepete eklenebilir / kategori sayfasında listeli</x:t>
  </x:si>
  <x:si>
    <x:t xml:space="preserve">Türkiye içi; siparişte teyit</x:t>
  </x:si>
  <x:si>
    <x:t xml:space="preserve">Freely Tek Taraflı ST-101 (~459.99 TL)</x:t>
  </x:si>
  <x:si>
    <x:t xml:space="preserve">https://www.medikaltec.com.tr/kategori/steteskop?ozellikler=tip-1%3Astandart-medikal-urun</x:t>
  </x:si>
  <x:si>
    <x:t xml:space="preserve">Ucuz örnek göğüs başlığı/tubing. Ticari ürünün akustik performansı nihai kabul değildir; phantom ile ölçülür.</x:t>
  </x:si>
  <x:si>
    <x:t xml:space="preserve">A-02</x:t>
  </x:si>
  <x:si>
    <x:t xml:space="preserve">Elektret kondenser mikrofon (ECM)</x:t>
  </x:si>
  <x:si>
    <x:t xml:space="preserve">KINGSTATE KECG2740PBJ</x:t>
  </x:si>
  <x:si>
    <x:t xml:space="preserve">Farnell Türkiye</x:t>
  </x:si>
  <x:si>
    <x:t xml:space="preserve">https://tr.farnell.com/kingstate/kecg2740pbj/microphone-miniature-electret/dp/1299885</x:t>
  </x:si>
  <x:si>
    <x:t xml:space="preserve">1,124 stok; MOQ 1 (30.09.2026 araştırma görüntüsü)</x:t>
  </x:si>
  <x:si>
    <x:t xml:space="preserve">Same Sky CMC-6036-40T — teknik referans; Farnell MOQ 500</x:t>
  </x:si>
  <x:si>
    <x:t xml:space="preserve">https://tr.farnell.com/same-sky/cmc-6036-40t/microphone-electret-condenser/dp/4892745</x:t>
  </x:si>
  <x:si>
    <x:t xml:space="preserve">A-03</x:t>
  </x:si>
  <x:si>
    <x:t xml:space="preserve">Dijital MEMS mikrofon (sensör) / ilk bench taşıyıcısı</x:t>
  </x:si>
  <x:si>
    <x:t xml:space="preserve">Sensör: PUI DMM-4026-B-I2S-R; taşıyıcı: DMM-4026-B-I2S-EB-R</x:t>
  </x:si>
  <x:si>
    <x:t xml:space="preserve">https://tr.farnell.com/pui-audio/dmm-4026-b-i2s-eb-r/eval-board-26db-1-8vdc-mems-microphone/dp/4903832</x:t>
  </x:si>
  <x:si>
    <x:t xml:space="preserve">Farnell ağında 16 stok araştırma görüntüsü; TR sipariş ekranı teyit</x:t>
  </x:si>
  <x:si>
    <x:t xml:space="preserve">İthalat/sipariş ekranı teslim tarihi siparişte teyit</x:t>
  </x:si>
  <x:si>
    <x:t xml:space="preserve">DMM-4026-B-I2S-EB-R değerlendirme kartı (ilk bench taşıyıcısı); ham sensör ayrı MPN</x:t>
  </x:si>
  <x:si>
    <x:t xml:space="preserve">https://puiaudio.com/file/specs-DMM-4026-B-I2S-R.pdf</x:t>
  </x:si>
  <x:si>
    <x:t xml:space="preserve">Sensör MPN ayrı tutulur. İlk bench entegrasyonu değerlendirme kartıyla kolaylaştırılabilir. Sensörün düşük frekans davranışı aynı phantom koşullarında ölçülecektir.</x:t>
  </x:si>
  <x:si>
    <x:t xml:space="preserve">A-04</x:t>
  </x:si>
  <x:si>
    <x:t xml:space="preserve">Düşük gürültülü op-amp</x:t>
  </x:si>
  <x:si>
    <x:t xml:space="preserve">Microchip MCP6022-I/P, DIP-8</x:t>
  </x:si>
  <x:si>
    <x:t xml:space="preserve">Direnc.net</x:t>
  </x:si>
  <x:si>
    <x:t xml:space="preserve">https://www.direnc.net/mcp6022-ip-dual-op-amp-500uv-offset-max-10mhz-band-width-pdip8</x:t>
  </x:si>
  <x:si>
    <x:t xml:space="preserve">Sepete eklenebilir</x:t>
  </x:si>
  <x:si>
    <x:t xml:space="preserve">NE5532P (ucuz yedek; daha yüksek/split besleme gereksinimi)</x:t>
  </x:si>
  <x:si>
    <x:t xml:space="preserve">https://www.direnc.net/amplifikatorler-dip</x:t>
  </x:si>
  <x:si>
    <x:t xml:space="preserve">2.5–5.5 V çalışması ve DIP-8 breadboard uyumu nedeniyle 3. hafta AFE adayı. Nihai AFE Kaan'ın ölçüm/şema kararıyla netleşir.</x:t>
  </x:si>
  <x:si>
    <x:t xml:space="preserve">A-05</x:t>
  </x:si>
  <x:si>
    <x:t xml:space="preserve">Pasif komponent seti</x:t>
  </x:si>
  <x:si>
    <x:t xml:space="preserve">Robotistan 1/4W direnç kiti + kondansatör seti</x:t>
  </x:si>
  <x:si>
    <x:t xml:space="preserve">Robotistan</x:t>
  </x:si>
  <x:si>
    <x:t xml:space="preserve">https://www.robotistan.com/devre-elemanlari</x:t>
  </x:si>
  <x:si>
    <x:t xml:space="preserve">Her iki kit sepete eklenebilir</x:t>
  </x:si>
  <x:si>
    <x:t xml:space="preserve">Değerler netleşince tekil düşük toleranslı R/C satın alma</x:t>
  </x:si>
  <x:si>
    <x:t xml:space="preserve">https://www.robotistan.com/14w-direnc-kiti-500-adet</x:t>
  </x:si>
  <x:si>
    <x:t xml:space="preserve">148.26 TL direnç kiti + 1,004.12 TL kondansatör seti. Büyük kit maliyetli; 3. hafta'te tekil parça listesi daha ucuzsa ona geçilebilir.</x:t>
  </x:si>
  <x:si>
    <x:t xml:space="preserve">A-06</x:t>
  </x:si>
  <x:si>
    <x:t xml:space="preserve">Mikrodenetleyici geliştirme kartı</x:t>
  </x:si>
  <x:si>
    <x:t xml:space="preserve">Espressif ESP32-S3-DevKitC-1-N8R8</x:t>
  </x:si>
  <x:si>
    <x:t xml:space="preserve">Mouser Türkiye</x:t>
  </x:si>
  <x:si>
    <x:t xml:space="preserve">https://www.mouser.com.tr/tr/ProductDetail/Espressif-Systems/ESP32-S3-DevKitC-1-N8R8</x:t>
  </x:si>
  <x:si>
    <x:t xml:space="preserve">1,566 stok; hemen gönderilebilir (30.09.2026 araştırma görüntüsü)</x:t>
  </x:si>
  <x:si>
    <x:t xml:space="preserve">Mouser TR; gümrük/kargo süresi sipariş ekranı'ta teyit</x:t>
  </x:si>
  <x:si>
    <x:t xml:space="preserve">ESP32-S3-DevKitC-1U-N8R8</x:t>
  </x:si>
  <x:si>
    <x:t xml:space="preserve">https://www.mouser.com.tr/en/ProductDetail/Espressif-Systems/ESP32-S3-DevKitC-1U-N8R8</x:t>
  </x:si>
  <x:si>
    <x:t xml:space="preserve">ESP32-S3 çalışma MCU adayıdır; yerel USB ve I2S/DMA için uygundur. Exact board 3. hafta'te dondurulur.</x:t>
  </x:si>
  <x:si>
    <x:t xml:space="preserve">A-07</x:t>
  </x:si>
  <x:si>
    <x:t xml:space="preserve">Fantom eksitörü / transdüser</x:t>
  </x:si>
  <x:si>
    <x:t xml:space="preserve">Motorobit 30 mm 12 Ω titreşim/rezonans hoparlör</x:t>
  </x:si>
  <x:si>
    <x:t xml:space="preserve">Motorobit</x:t>
  </x:si>
  <x:si>
    <x:t xml:space="preserve">https://www.motorobit.com/titresim-hoparloru-30mm-12-ohm-12%CE%A9-rezonans-hoparlor</x:t>
  </x:si>
  <x:si>
    <x:t xml:space="preserve">10,000+ stok gösteriliyor</x:t>
  </x:si>
  <x:si>
    <x:t xml:space="preserve">Türkiye içi</x:t>
  </x:si>
  <x:si>
    <x:t xml:space="preserve">Standart 8 Ω küçük hoparlör; LF cevabı bench'te doğrulanmalı</x:t>
  </x:si>
  <x:si>
    <x:t xml:space="preserve">https://www.motorobit.com/hoparlor-ve-buzzer?pg=4</x:t>
  </x:si>
  <x:si>
    <x:t xml:space="preserve">Ürün LF titreşim amaçlı uygun aday; üretici 20–500 Hz düz cevabı garanti etmiyor. Phantom frekans cevabı ile karakterize edilir.</x:t>
  </x:si>
  <x:si>
    <x:t xml:space="preserve">A-08</x:t>
  </x:si>
  <x:si>
    <x:t xml:space="preserve">Küçük ses yükselteç modülü</x:t>
  </x:si>
  <x:si>
    <x:t xml:space="preserve">PAM8403 2×3 W mini amfi</x:t>
  </x:si>
  <x:si>
    <x:t xml:space="preserve">https://www.robotistan.com/ses-modulleri</x:t>
  </x:si>
  <x:si>
    <x:t xml:space="preserve">LM386 tabanlı modül</x:t>
  </x:si>
  <x:si>
    <x:t xml:space="preserve">Advisor Class-D'nin yeterli olduğunu belirtiyor. Exciter empedansı/gücüyle bench'te seviye doğrulanır.</x:t>
  </x:si>
  <x:si>
    <x:t xml:space="preserve">A-09</x:t>
  </x:si>
  <x:si>
    <x:t xml:space="preserve">Silikon levha / kuplaj katmanı</x:t>
  </x:si>
  <x:si>
    <x:t xml:space="preserve">Şeffaf silikon levha 3 mm, 1 m × 0.25 m</x:t>
  </x:si>
  <x:si>
    <x:t xml:space="preserve">Demiriz / Endüstri Malzemesi</x:t>
  </x:si>
  <x:si>
    <x:t xml:space="preserve">https://www.endustrimalzemesi.com/urun/silikon-levha-seffaf-3-mm-en-1-mt-boy-0-25-mt-1643</x:t>
  </x:si>
  <x:si>
    <x:t xml:space="preserve">Kategori listesinde stokta / sepete eklenebilir; fiyat dinamik</x:t>
  </x:si>
  <x:si>
    <x:t xml:space="preserve">Türkiye içi; sipariş anında fiyat/stok teyit</x:t>
  </x:si>
  <x:si>
    <x:t xml:space="preserve">2 mm silikon levha veya daha küçük numune</x:t>
  </x:si>
  <x:si>
    <x:t xml:space="preserve">https://www.demiriz.com.tr/kategori/seffaf-silikon-levhalar</x:t>
  </x:si>
  <x:si>
    <x:t xml:space="preserve">3 mm yalnız başlangıç mekanik adaydır; 30.09.2026 category araştırma görüntüsü 1,173 TL (ürün sayfasında farklı dinamik fiyat görülebilir). Kalınlık/sertlik Kaan tarafından bench'te doğrulanır.</x:t>
  </x:si>
  <x:si>
    <x:t xml:space="preserve">A-10</x:t>
  </x:si>
  <x:si>
    <x:t xml:space="preserve">Fantom rijit çerçeve malzemesi</x:t>
  </x:si>
  <x:si>
    <x:t xml:space="preserve">3 mm şeffaf akrilik levha, 20×30 cm</x:t>
  </x:si>
  <x:si>
    <x:t xml:space="preserve">Trendyol / Bilhan Pleksi</x:t>
  </x:si>
  <x:si>
    <x:t xml:space="preserve">https://www.trendyol.com/seffaf-pleksi-y-s82306?pi=21</x:t>
  </x:si>
  <x:si>
    <x:t xml:space="preserve">Sepete ekle görüldü</x:t>
  </x:si>
  <x:si>
    <x:t xml:space="preserve">Marketplace; siparişte teyit</x:t>
  </x:si>
  <x:si>
    <x:t xml:space="preserve">Bölüm 3D baskı / yerel lazer kesim akrilik</x:t>
  </x:si>
  <x:si>
    <x:t xml:space="preserve">https://www.trendyol.com/akrilik-levha-y-s9511</x:t>
  </x:si>
  <x:si>
    <x:t xml:space="preserve">A-11</x:t>
  </x:si>
  <x:si>
    <x:t xml:space="preserve">Breadboard + jumper seti</x:t>
  </x:si>
  <x:si>
    <x:t xml:space="preserve">Büyük boy breadboard + 140 parça jumper kiti</x:t>
  </x:si>
  <x:si>
    <x:t xml:space="preserve">https://www.robotistan.com/140-parca-kutulu-jumper-kablo-kiti-140-piece-jumper-wire-kit</x:t>
  </x:si>
  <x:si>
    <x:t xml:space="preserve">Stok göstergeleri sayfalar arasında çelişkili — sipariş öncesi teyit</x:t>
  </x:si>
  <x:si>
    <x:t xml:space="preserve">Türkiye içi; 4. hafta sipariş ekranı teyidi gerekli</x:t>
  </x:si>
  <x:si>
    <x:t xml:space="preserve">40-pin M-M + F-F + M-F jumper setleri (ayrı ürünler, daha güvenli yedek)</x:t>
  </x:si>
  <x:si>
    <x:t xml:space="preserve">https://www.robotistan.com/jumper-kablo</x:t>
  </x:si>
  <x:si>
    <x:t xml:space="preserve">60.72 TL breadboard + 89.19 TL 140-parça kit referansı. Robotistan listelemelerinde stok göstergeleri çelişkili; 4. hafta'te 40-pin ayrı jumper setlerine geçilebilir.</x:t>
  </x:si>
  <x:si>
    <x:t xml:space="preserve">A-12</x:t>
  </x:si>
  <x:si>
    <x:t xml:space="preserve">Ekranlı sinyal kablosu + konnektör</x:t>
  </x:si>
  <x:si>
    <x:t xml:space="preserve">2 m XLR/mikrofon kablosu (shielded)</x:t>
  </x:si>
  <x:si>
    <x:t xml:space="preserve">n11 / Yenikablo (Akakçe fiyat karşılaştırma)</x:t>
  </x:si>
  <x:si>
    <x:t xml:space="preserve">https://www.akakce.com/mikrofon-aksesuari/en-ucuz-xlr-mikrofon-kablosu-2-metre-fiyati%2C849293642.html</x:t>
  </x:si>
  <x:si>
    <x:t xml:space="preserve">100+ stok; 1 iş günü (fiyat karşılaştırma kaynağı)</x:t>
  </x:si>
  <x:si>
    <x:t xml:space="preserve">1 iş günü bilgisi; satıcıda teyit</x:t>
  </x:si>
  <x:si>
    <x:t xml:space="preserve">2x0.22 mm² mikrofon kablosu / metre</x:t>
  </x:si>
  <x:si>
    <x:t xml:space="preserve">https://www.meteormuzik.com.tr/mikrofon-kablosu</x:t>
  </x:si>
  <x:si>
    <x:t xml:space="preserve">Hazır XLR kablo gerektiğinde kesilip ekranlı sinyal kablosu olarak kullanılabilir; konnektör topology AFE'ye göre 3. hafta'te netleşir.</x:t>
  </x:si>
  <x:si>
    <x:t xml:space="preserve">B-01</x:t>
  </x:si>
  <x:si>
    <x:t xml:space="preserve">GRUP B</x:t>
  </x:si>
  <x:si>
    <x:t xml:space="preserve">P2</x:t>
  </x:si>
  <x:si>
    <x:t xml:space="preserve">Lehimli prototip kartı</x:t>
  </x:si>
  <x:si>
    <x:t xml:space="preserve">Perfboard / stripboard — exact SKU later</x:t>
  </x:si>
  <x:si>
    <x:t xml:space="preserve">2. dönem tedarik</x:t>
  </x:si>
  <x:si>
    <x:t xml:space="preserve">HENÜZ SATIN ALMA YOK</x:t>
  </x:si>
  <x:si>
    <x:t xml:space="preserve">—</x:t>
  </x:si>
  <x:si>
    <x:t xml:space="preserve">Advisor Grup B; şimdi kilitlenmez.</x:t>
  </x:si>
  <x:si>
    <x:t xml:space="preserve">B-02</x:t>
  </x:si>
  <x:si>
    <x:t xml:space="preserve">Li-ion/Li-Po hücre + şarj/koruma</x:t>
  </x:si>
  <x:si>
    <x:t xml:space="preserve">1S protected pack — aday only</x:t>
  </x:si>
  <x:si>
    <x:t xml:space="preserve">Batarya/şarj mimarisi Grup B; BQ24074 vb. yalnız future aday.</x:t>
  </x:si>
  <x:si>
    <x:t xml:space="preserve">B-03</x:t>
  </x:si>
  <x:si>
    <x:t xml:space="preserve">Düşük gürültülü regülatör</x:t>
  </x:si>
  <x:si>
    <x:t xml:space="preserve">Aday TBD</x:t>
  </x:si>
  <x:si>
    <x:t xml:space="preserve">AFE ölçümlerinden sonra seçilir.</x:t>
  </x:si>
  <x:si>
    <x:t xml:space="preserve">B-04</x:t>
  </x:si>
  <x:si>
    <x:t xml:space="preserve">PPG modülü</x:t>
  </x:si>
  <x:si>
    <x:t xml:space="preserve">Opsiyonel — mevcut aday yok</x:t>
  </x:si>
  <x:si>
    <x:t xml:space="preserve">OPSİYONEL</x:t>
  </x:si>
  <x:si>
    <x:t xml:space="preserve">Yalnız core tamamlanırsa</x:t>
  </x:si>
  <x:si>
    <x:t xml:space="preserve">2. dönem opsiyonel</x:t>
  </x:si>
  <x:si>
    <x:t xml:space="preserve">Çekirdek sistem dışında; yalnızca çekirdek tamamlanırsa değerlendirilecektir.</x:t>
  </x:si>
  <x:si>
    <x:t xml:space="preserve">B-05</x:t>
  </x:si>
  <x:si>
    <x:t xml:space="preserve">Özel PCB</x:t>
  </x:si>
  <x:si>
    <x:t xml:space="preserve">Optional</x:t>
  </x:si>
  <x:si>
    <x:t xml:space="preserve">Ölçüm gerekçesi varsa</x:t>
  </x:si>
  <x:si>
    <x:t xml:space="preserve">2. dönem 6+</x:t>
  </x:si>
  <x:si>
    <x:t xml:space="preserve">Özel PCB zorunlu değildir; yalnızca ölçümler gerekçelendirirse ikinci dönemde uygulanabilir.</x:t>
  </x:si>
  <x:si>
    <x:t xml:space="preserve">C-01</x:t>
  </x:si>
  <x:si>
    <x:t xml:space="preserve">GRUP C</x:t>
  </x:si>
  <x:si>
    <x:t xml:space="preserve">P0</x:t>
  </x:si>
  <x:si>
    <x:t xml:space="preserve">Osiloskop</x:t>
  </x:si>
  <x:si>
    <x:t xml:space="preserve">Bölüm/laboratuvar mevcudiyet kontrolü</x:t>
  </x:si>
  <x:si>
    <x:t xml:space="preserve">THKÜ</x:t>
  </x:si>
  <x:si>
    <x:t xml:space="preserve">KONTROL GEREKLİ</x:t>
  </x:si>
  <x:si>
    <x:t xml:space="preserve">İlk 3 hafta</x:t>
  </x:si>
  <x:si>
    <x:t xml:space="preserve">3. hafta</x:t>
  </x:si>
  <x:si>
    <x:t xml:space="preserve">Satın alınmaz; bölüm mevcudiyeti ekipçe teyit edilir.</x:t>
  </x:si>
  <x:si>
    <x:t xml:space="preserve">C-02</x:t>
  </x:si>
  <x:si>
    <x:t xml:space="preserve">Fonksiyon üreteci</x:t>
  </x:si>
  <x:si>
    <x:t xml:space="preserve">Satın alınmaz; bölüm/laboratuvar mevcudiyeti teyit edilir.</x:t>
  </x:si>
  <x:si>
    <x:t xml:space="preserve">C-03</x:t>
  </x:si>
  <x:si>
    <x:t xml:space="preserve">Multimetre</x:t>
  </x:si>
  <x:si>
    <x:t xml:space="preserve">C-04</x:t>
  </x:si>
  <x:si>
    <x:t xml:space="preserve">Lehim istasyonu + lehim</x:t>
  </x:si>
  <x:si>
    <x:t xml:space="preserve">Gerekirse 2. dönem</x:t>
  </x:si>
  <x:si>
    <x:t xml:space="preserve">3. hafta audit</x:t>
  </x:si>
  <x:si>
    <x:t xml:space="preserve">C-05</x:t>
  </x:si>
  <x:si>
    <x:t xml:space="preserve">USB ses arayüzü</x:t>
  </x:si>
  <x:si>
    <x:t xml:space="preserve">ECM referans yolu</x:t>
  </x:si>
  <x:si>
    <x:t xml:space="preserve">GRUP A CANLI FİYAT TOPLAMI</x:t>
  </x:si>
  <x:si>
    <x:t xml:space="preserve">Bu toplam yalnız bugün bulunan primary procurement adaylarının referans toplamıdır; vergi/ithalat/kargo şartları farklı olabilir. 4. hafta sipariş anında yeniden doğrulanır.</x:t>
  </x:si>
  <x:si>
    <x:t xml:space="preserve">Not</x:t>
  </x:si>
  <x:si>
    <x:t xml:space="preserve">ANA MALZEME LİSTESİ — MİMARİ / ÖN BOM | REV01</x:t>
  </x:si>
  <x:si>
    <x:t xml:space="preserve">Bu liste Rev01 için mimari ve ön BOM kaydıdır; 4. hafta dondurma öncesi hiçbir ekip tasarım tercihi 'kilitli' değildir. Ders kapsamı ve gate koşulları danışman belgelerine göre sabittir.</x:t>
  </x:si>
  <x:si>
    <x:t xml:space="preserve">Ref.</x:t>
  </x:si>
  <x:si>
    <x:t xml:space="preserve">Blok</x:t>
  </x:si>
  <x:si>
    <x:t xml:space="preserve">Üretici</x:t>
  </x:si>
  <x:si>
    <x:t xml:space="preserve">MPN / Tanım</x:t>
  </x:si>
  <x:si>
    <x:t xml:space="preserve">Parça / Değer</x:t>
  </x:si>
  <x:si>
    <x:t xml:space="preserve">Geliştirme Adedi</x:t>
  </x:si>
  <x:si>
    <x:t xml:space="preserve">Lehimli Prototip Adedi</x:t>
  </x:si>
  <x:si>
    <x:t xml:space="preserve">Özel PCB Adedi (Koşullu)</x:t>
  </x:si>
  <x:si>
    <x:t xml:space="preserve">Durum</x:t>
  </x:si>
  <x:si>
    <x:t xml:space="preserve">Teknik Not</x:t>
  </x:si>
  <x:si>
    <x:t xml:space="preserve">Kaynak</x:t>
  </x:si>
  <x:si>
    <x:t xml:space="preserve">U1</x:t>
  </x:si>
  <x:si>
    <x:t xml:space="preserve">MCU</x:t>
  </x:si>
  <x:si>
    <x:t xml:space="preserve">Espressif</x:t>
  </x:si>
  <x:si>
    <x:t xml:space="preserve">ESP32-S3-DevKitC-1-N8R8</x:t>
  </x:si>
  <x:si>
    <x:t xml:space="preserve">Geliştirme kartı</x:t>
  </x:si>
  <x:si>
    <x:t xml:space="preserve">Belirlenecek</x:t>
  </x:si>
  <x:si>
    <x:t xml:space="preserve">ÖNERİLEN — 3./4. hafta DOĞRULAMA</x:t>
  </x:si>
  <x:si>
    <x:t xml:space="preserve">ESP32-S3 çalışma adayı; kesin geliştirme kartı ve USB class 3. hafta entegrasyon kararında, 4. hafta gereksinim dondurma'da dondurulur.</x:t>
  </x:si>
  <x:si>
    <x:t xml:space="preserve">Espressif / öğretim elemanı listesi</x:t>
  </x:si>
  <x:si>
    <x:t xml:space="preserve">U2A</x:t>
  </x:si>
  <x:si>
    <x:t xml:space="preserve">Dönüştürücü — ECM</x:t>
  </x:si>
  <x:si>
    <x:t xml:space="preserve">Kingstate</x:t>
  </x:si>
  <x:si>
    <x:t xml:space="preserve">KECG2740PBJ</x:t>
  </x:si>
  <x:si>
    <x:t xml:space="preserve">Analog elektret kondenser</x:t>
  </x:si>
  <x:si>
    <x:t xml:space="preserve">ECM ANA SATIN ALMA ADAYI</x:t>
  </x:si>
  <x:si>
    <x:t xml:space="preserve">ECM ailesinin ana satın alma adayı. Same Sky CMC-6036-40T yalnız teknik/yedek adaydır; ayrı bir ECM ailesi değildir. Nihai seçim aynı fantom koşullarındaki ölçümlerle gerekçelendirilecektir.</x:t>
  </x:si>
  <x:si>
    <x:t xml:space="preserve">U2B</x:t>
  </x:si>
  <x:si>
    <x:t xml:space="preserve">Dönüştürücü — MEMS</x:t>
  </x:si>
  <x:si>
    <x:t xml:space="preserve">PUI Audio</x:t>
  </x:si>
  <x:si>
    <x:t xml:space="preserve">DMM-4026-B-I2S-R</x:t>
  </x:si>
  <x:si>
    <x:t xml:space="preserve">Dijital I²S MEMS</x:t>
  </x:si>
  <x:si>
    <x:t xml:space="preserve">MEMS SATIN ALMA ADAYI</x:t>
  </x:si>
  <x:si>
    <x:t xml:space="preserve">MEMS sensör ile değerlendirme yapılır. İlk masaüstü entegrasyonu için DMM-4026-B-I2S-EB-R değerlendirme kartı ayrı bir taşıyıcı/test seçeneğidir; sensör MPN ile karıştırılmaz.</x:t>
  </x:si>
  <x:si>
    <x:t xml:space="preserve">U3</x:t>
  </x:si>
  <x:si>
    <x:t xml:space="preserve">ECM analog ön uç</x:t>
  </x:si>
  <x:si>
    <x:t xml:space="preserve">Uygun üretici</x:t>
  </x:si>
  <x:si>
    <x:t xml:space="preserve">ÖNERİLEN AFE PARÇASI</x:t>
  </x:si>
  <x:si>
    <x:t xml:space="preserve">MCP6022-I/P breadboard adayı; Kaan Module-A AFE seçiminde doğrulanır.</x:t>
  </x:si>
  <x:si>
    <x:t xml:space="preserve">Öğretim elemanı komponent listesi</x:t>
  </x:si>
  <x:si>
    <x:t xml:space="preserve">KIT1</x:t>
  </x:si>
  <x:si>
    <x:t xml:space="preserve">Pasif set</x:t>
  </x:si>
  <x:si>
    <x:t xml:space="preserve">Set</x:t>
  </x:si>
  <x:si>
    <x:t xml:space="preserve">Direnç + kondansatör</x:t>
  </x:si>
  <x:si>
    <x:t xml:space="preserve">GRUP A SATIN ALMA</x:t>
  </x:si>
  <x:si>
    <x:t xml:space="preserve">Direnç/kondansatör kit veya tekil parça seçimi 3. hafta'te maliyet/ölçüm ihtiyacına göre.</x:t>
  </x:si>
  <x:si>
    <x:t xml:space="preserve">U4</x:t>
  </x:si>
  <x:si>
    <x:t xml:space="preserve">Şarj / PowerPath</x:t>
  </x:si>
  <x:si>
    <x:t xml:space="preserve">Texas Instruments</x:t>
  </x:si>
  <x:si>
    <x:t xml:space="preserve">BQ24074RGTT</x:t>
  </x:si>
  <x:si>
    <x:t xml:space="preserve">1S Li-Ion/Li-Po şarj + PowerPath + NTC</x:t>
  </x:si>
  <x:si>
    <x:t xml:space="preserve">GELECEK ADAYI — 2. DÖNEM</x:t>
  </x:si>
  <x:si>
    <x:t xml:space="preserve">Grup B / 2. dönem. BQ24074 bu aşamada kilitli değildir.</x:t>
  </x:si>
  <x:si>
    <x:t xml:space="preserve">https://www.ti.com/lit/ds/symlink/bq24074.pdf</x:t>
  </x:si>
  <x:si>
    <x:t xml:space="preserve">U5</x:t>
  </x:si>
  <x:si>
    <x:t xml:space="preserve">3.3 V regülatör</x:t>
  </x:si>
  <x:si>
    <x:t xml:space="preserve">TPS63031DSKR</x:t>
  </x:si>
  <x:si>
    <x:t xml:space="preserve">Buck-boost, sabit 3.3 V</x:t>
  </x:si>
  <x:si>
    <x:t xml:space="preserve">Grup B / 2. dönem. TPS63031 bu aşamada kilitli değildir.</x:t>
  </x:si>
  <x:si>
    <x:t xml:space="preserve">https://www.ti.com/lit/ds/symlink/tps63031.pdf</x:t>
  </x:si>
  <x:si>
    <x:t xml:space="preserve">U6</x:t>
  </x:si>
  <x:si>
    <x:t xml:space="preserve">Düşük gürültülü LDO</x:t>
  </x:si>
  <x:si>
    <x:t xml:space="preserve">ECM analog ön uç deneme beslemesi</x:t>
  </x:si>
  <x:si>
    <x:t xml:space="preserve">AFE ölçümlerinden sonra netleşir.</x:t>
  </x:si>
  <x:si>
    <x:t xml:space="preserve">J1</x:t>
  </x:si>
  <x:si>
    <x:t xml:space="preserve">USB-C</x:t>
  </x:si>
  <x:si>
    <x:t xml:space="preserve">GCT</x:t>
  </x:si>
  <x:si>
    <x:t xml:space="preserve">USB4105-GF-A-120</x:t>
  </x:si>
  <x:si>
    <x:t xml:space="preserve">USB Type-C yuvası</x:t>
  </x:si>
  <x:si>
    <x:t xml:space="preserve">YALNIZ ÖZEL PCB — KOŞULLU</x:t>
  </x:si>
  <x:si>
    <x:t xml:space="preserve">USB-C konnektör ancak özel PCB uygulanırsa gerekir; özel PCB zorunlu değildir.</x:t>
  </x:si>
  <x:si>
    <x:t xml:space="preserve">GCT / DigiKey</x:t>
  </x:si>
  <x:si>
    <x:t xml:space="preserve">ESD1</x:t>
  </x:si>
  <x:si>
    <x:t xml:space="preserve">USB ESD</x:t>
  </x:si>
  <x:si>
    <x:t xml:space="preserve">STMicroelectronics</x:t>
  </x:si>
  <x:si>
    <x:t xml:space="preserve">USBLC6-2SC6</x:t>
  </x:si>
  <x:si>
    <x:t xml:space="preserve">USB 2.0 düşük kapasitanslı ESD</x:t>
  </x:si>
  <x:si>
    <x:t xml:space="preserve">USB ESD parçası özel PCB tasarımı yapılırsa seçilecek.</x:t>
  </x:si>
  <x:si>
    <x:t xml:space="preserve">Üretici veri sayfası</x:t>
  </x:si>
  <x:si>
    <x:t xml:space="preserve">J2</x:t>
  </x:si>
  <x:si>
    <x:t xml:space="preserve">Batarya</x:t>
  </x:si>
  <x:si>
    <x:t xml:space="preserve">JST</x:t>
  </x:si>
  <x:si>
    <x:t xml:space="preserve">B3B-PH-K-S</x:t>
  </x:si>
  <x:si>
    <x:t xml:space="preserve">PH 3-pin batarya bağlantısı</x:t>
  </x:si>
  <x:si>
    <x:t xml:space="preserve">Batarya konnektör seçimi 2. dönem power architecture ile.</x:t>
  </x:si>
  <x:si>
    <x:t xml:space="preserve">JST / DigiKey</x:t>
  </x:si>
  <x:si>
    <x:t xml:space="preserve">J3</x:t>
  </x:si>
  <x:si>
    <x:t xml:space="preserve">PUI MEMS taşıyıcı</x:t>
  </x:si>
  <x:si>
    <x:t xml:space="preserve">Tasarım içi</x:t>
  </x:si>
  <x:si>
    <x:t xml:space="preserve">Özel 6-pin taşıyıcı</x:t>
  </x:si>
  <x:si>
    <x:t xml:space="preserve">PUI MEMS modüler taşıyıcı kart</x:t>
  </x:si>
  <x:si>
    <x:t xml:space="preserve">TASARIM İÇİ</x:t>
  </x:si>
  <x:si>
    <x:t xml:space="preserve">Ticari MPN değildir; değiştirilebilir modül yaklaşımı.</x:t>
  </x:si>
  <x:si>
    <x:t xml:space="preserve">DSS-SYS-001</x:t>
  </x:si>
  <x:si>
    <x:t xml:space="preserve">BAT1</x:t>
  </x:si>
  <x:si>
    <x:t xml:space="preserve">Üretici belirlenecek</x:t>
  </x:si>
  <x:si>
    <x:t xml:space="preserve">1S Li-Po ~800 mAh</x:t>
  </x:si>
  <x:si>
    <x:t xml:space="preserve">Korumalı; 3.7 V nominal; paket NTC</x:t>
  </x:si>
  <x:si>
    <x:t xml:space="preserve">ÖN</x:t>
  </x:si>
  <x:si>
    <x:t xml:space="preserve">Kesin SKU mekanik/termal inceleme sonrası.</x:t>
  </x:si>
  <x:si>
    <x:t xml:space="preserve">L1</x:t>
  </x:si>
  <x:si>
    <x:t xml:space="preserve">3.3 V güç</x:t>
  </x:si>
  <x:si>
    <x:t xml:space="preserve">1.5 µH shielded</x:t>
  </x:si>
  <x:si>
    <x:t xml:space="preserve">TPS63031 indüktörü</x:t>
  </x:si>
  <x:si>
    <x:t xml:space="preserve">Power architecture kilitlenmedi.</x:t>
  </x:si>
  <x:si>
    <x:t xml:space="preserve">C1</x:t>
  </x:si>
  <x:si>
    <x:t xml:space="preserve">3.3 V IN</x:t>
  </x:si>
  <x:si>
    <x:t xml:space="preserve">10 µF 6.3 V X7R</x:t>
  </x:si>
  <x:si>
    <x:t xml:space="preserve">TPS63031 giriş kapasitesi</x:t>
  </x:si>
  <x:si>
    <x:t xml:space="preserve">C2-C3</x:t>
  </x:si>
  <x:si>
    <x:t xml:space="preserve">3.3 V OUT</x:t>
  </x:si>
  <x:si>
    <x:t xml:space="preserve">TPS63031 çıkış kapasitesi</x:t>
  </x:si>
  <x:si>
    <x:t xml:space="preserve">R1-R2</x:t>
  </x:si>
  <x:si>
    <x:t xml:space="preserve">USB CC</x:t>
  </x:si>
  <x:si>
    <x:t xml:space="preserve">5.1 kΩ 0603</x:t>
  </x:si>
  <x:si>
    <x:t xml:space="preserve">USB-C sink Rd</x:t>
  </x:si>
  <x:si>
    <x:t xml:space="preserve">Custom PCB olursa USB-C sink Rd gereksinimi değerlendirilecek.</x:t>
  </x:si>
  <x:si>
    <x:t xml:space="preserve">USB-C / Espressif</x:t>
  </x:si>
  <x:si>
    <x:t xml:space="preserve">R3-R4</x:t>
  </x:si>
  <x:si>
    <x:t xml:space="preserve">USB SI</x:t>
  </x:si>
  <x:si>
    <x:t xml:space="preserve">27 Ω 0603</x:t>
  </x:si>
  <x:si>
    <x:t xml:space="preserve">D+/D− seri direnç footprinti</x:t>
  </x:si>
  <x:si>
    <x:t xml:space="preserve">ÖNERİLEN TEST/AYAK İZİ</x:t>
  </x:si>
  <x:si>
    <x:t xml:space="preserve">Custom PCB olursa SI ölçümü/üretici önerisiyle.</x:t>
  </x:si>
  <x:si>
    <x:t xml:space="preserve">Espressif donanım kılavuzu</x:t>
  </x:si>
  <x:si>
    <x:t xml:space="preserve">R5-R7</x:t>
  </x:si>
  <x:si>
    <x:t xml:space="preserve">I²S SI</x:t>
  </x:si>
  <x:si>
    <x:t xml:space="preserve">33 Ω 0603</x:t>
  </x:si>
  <x:si>
    <x:t xml:space="preserve">BCLK/WS/DOUT damping footprinti</x:t>
  </x:si>
  <x:si>
    <x:t xml:space="preserve">Gerekirse ölçümle doldurulur; board tasarımı henüz dondurma değil.</x:t>
  </x:si>
  <x:si>
    <x:t xml:space="preserve">R8</x:t>
  </x:si>
  <x:si>
    <x:t xml:space="preserve">MIC SUPPLY</x:t>
  </x:si>
  <x:si>
    <x:t xml:space="preserve">10 Ω 0603</x:t>
  </x:si>
  <x:si>
    <x:t xml:space="preserve">3.3 V → MIC_3V3 izolasyonu</x:t>
  </x:si>
  <x:si>
    <x:t xml:space="preserve">ÖNERİLEN MEMS YOLU</x:t>
  </x:si>
  <x:si>
    <x:t xml:space="preserve">PUI referans path için aday; 3. hafta/4 dondurma pending.</x:t>
  </x:si>
  <x:si>
    <x:t xml:space="preserve">C4</x:t>
  </x:si>
  <x:si>
    <x:t xml:space="preserve">1 µF 6.3 V X7R</x:t>
  </x:si>
  <x:si>
    <x:t xml:space="preserve">MIC_3V3 yerel bulk</x:t>
  </x:si>
  <x:si>
    <x:t xml:space="preserve">C5</x:t>
  </x:si>
  <x:si>
    <x:t xml:space="preserve">100 nF 10 V X7R</x:t>
  </x:si>
  <x:si>
    <x:t xml:space="preserve">MIC_3V3 HF bypass</x:t>
  </x:si>
  <x:si>
    <x:t xml:space="preserve">R9</x:t>
  </x:si>
  <x:si>
    <x:t xml:space="preserve">CHARGE ISET</x:t>
  </x:si>
  <x:si>
    <x:t xml:space="preserve">Şema ile hesaplanacak</x:t>
  </x:si>
  <x:si>
    <x:t xml:space="preserve">BQ24074 ISET</x:t>
  </x:si>
  <x:si>
    <x:t xml:space="preserve">BQ24074 seçilirse veri sayfası hesabı.</x:t>
  </x:si>
  <x:si>
    <x:t xml:space="preserve">R10</x:t>
  </x:si>
  <x:si>
    <x:t xml:space="preserve">CHARGE ILIM</x:t>
  </x:si>
  <x:si>
    <x:t xml:space="preserve">BQ24074 giriş akım limiti</x:t>
  </x:si>
  <x:si>
    <x:t xml:space="preserve">R11</x:t>
  </x:si>
  <x:si>
    <x:t xml:space="preserve">CHARGE ITERM</x:t>
  </x:si>
  <x:si>
    <x:t xml:space="preserve">BQ24074 sonlandırma ayarı</x:t>
  </x:si>
  <x:si>
    <x:t xml:space="preserve">R12</x:t>
  </x:si>
  <x:si>
    <x:t xml:space="preserve">CHARGE TMR</x:t>
  </x:si>
  <x:si>
    <x:t xml:space="preserve">BQ24074 güvenlik zamanlayıcısı</x:t>
  </x:si>
  <x:si>
    <x:t xml:space="preserve">NTC1</x:t>
  </x:si>
  <x:si>
    <x:t xml:space="preserve">Batarya tedarikçisi</x:t>
  </x:si>
  <x:si>
    <x:t xml:space="preserve">10 kΩ NTC</x:t>
  </x:si>
  <x:si>
    <x:t xml:space="preserve">Paket termistörü → TS</x:t>
  </x:si>
  <x:si>
    <x:t xml:space="preserve">Batarya SKU/NTC yaklaşımı 2. dönem'de seçilir.</x:t>
  </x:si>
  <x:si>
    <x:t xml:space="preserve">BQ24074 veri sayfası</x:t>
  </x:si>
  <x:si>
    <x:t xml:space="preserve">NOT — Öğretim elemanı komponent listesi satın alma miktarlarında üst seviye girdidir. Nihai üretim BOM'u Altium şemasından çıkarılacaktır.</x:t>
  </x:si>
  <x:si>
    <x:t xml:space="preserve">DÖNÜŞTÜRÜCÜ KARŞILAŞTIRMA VE SEÇİM KAYDI | REV01</x:t>
  </x:si>
  <x:si>
    <x:t xml:space="preserve">Danışman gereksinimi: final karşılaştırma = aynı fantom koşullarında 1 ECM ailesi + 1 MEMS ailesi. Parça numarası 3./4. haftada dondurulur; veri sayfası açıkça vermiyorsa alt −3 dB noktası uydurulmaz.</x:t>
  </x:si>
  <x:si>
    <x:t xml:space="preserve">Aday</x:t>
  </x:si>
  <x:si>
    <x:t xml:space="preserve">Aile</x:t>
  </x:si>
  <x:si>
    <x:t xml:space="preserve">Arayüz</x:t>
  </x:si>
  <x:si>
    <x:t xml:space="preserve">Alt −3 dB (Hz)</x:t>
  </x:si>
  <x:si>
    <x:t xml:space="preserve">20–500 Hz Sistem Cevabı</x:t>
  </x:si>
  <x:si>
    <x:t xml:space="preserve">SNR (dB)</x:t>
  </x:si>
  <x:si>
    <x:t xml:space="preserve">Tekrarlanabilirlik</x:t>
  </x:si>
  <x:si>
    <x:t xml:space="preserve">Durum / Karar</x:t>
  </x:si>
  <x:si>
    <x:t xml:space="preserve">A</x:t>
  </x:si>
  <x:si>
    <x:t xml:space="preserve">ECM</x:t>
  </x:si>
  <x:si>
    <x:t xml:space="preserve">Analog</x:t>
  </x:si>
  <x:si>
    <x:t xml:space="preserve">Açık −3 dB belirtilmemiş; üretici aralığı 20 Hz–20 kHz</x:t>
  </x:si>
  <x:si>
    <x:t xml:space="preserve">ANA SATIN ALMA ADAYI — Same Sky CMC-6036-40T yalnız teknik/yedek adaydır.</x:t>
  </x:si>
  <x:si>
    <x:t xml:space="preserve">ECM Yedek</x:t>
  </x:si>
  <x:si>
    <x:t xml:space="preserve">Same Sky</x:t>
  </x:si>
  <x:si>
    <x:t xml:space="preserve">CMC-6036-40T</x:t>
  </x:si>
  <x:si>
    <x:t xml:space="preserve">https://www.sameskydevices.com/product/resource/cmc-6036-40t.pdf</x:t>
  </x:si>
  <x:si>
    <x:t xml:space="preserve">YEDEK ECM ADAYI — Aynı ECM ailesi; ayrı karşılaştırma ailesi değildir.</x:t>
  </x:si>
  <x:si>
    <x:t xml:space="preserve">B</x:t>
  </x:si>
  <x:si>
    <x:t xml:space="preserve">MEMS</x:t>
  </x:si>
  <x:si>
    <x:t xml:space="preserve">I²S</x:t>
  </x:si>
  <x:si>
    <x:t xml:space="preserve">MEMS SATIN ALMA ADAYI — İlk bench taşıyıcısı olarak eval board kullanılabilir.</x:t>
  </x:si>
  <x:si>
    <x:t xml:space="preserve">Uygulama sırası</x:t>
  </x:si>
  <x:si>
    <x:t xml:space="preserve">1) Adayların veri sayfasındaki düşük frekans bilgisini kaydet. 2) 3. haftada 1 ECM + 1 MEMS satın alma adayı onayla. 3) Aynı phantom koşullarında 20–500 Hz cevap, SNR ve ≥10 tekrar ölç. 4) Nihai sensör seçimini ölçümle gerekçelendir.</x:t>
  </x:si>
  <x:si>
    <x:t xml:space="preserve">NİHAİ SEÇİM NOTU</x:t>
  </x:si>
  <x:si>
    <x:t xml:space="preserve">Bu alan yalnızca karşılaştırma ölçümleri tamamlandıktan sonra doldurulur. Öznel dinleme tek başına seçim kanıtı değildir; seçim frekans cevabı, SNR ve tekrarlanabilirlik verileriyle desteklenir.</x:t>
  </x:si>
  <x:si>
    <x:t xml:space="preserve">DOĞRULAMA TEST MATRİSİ — DERS KAPILARI + MÜHENDİSLİK TESTLERİ | REV01 / DANIŞMAN GEREKSİNİMLERİYLE UYUMLU</x:t>
  </x:si>
  <x:si>
    <x:t xml:space="preserve">Takvim danışman planıyla hizalanmıştır. Ölçüm sonuçları ilgili haftalarda betik tarafından üretilen kanıt ile doldurulur; sonuçlar önceden girilmez.</x:t>
  </x:si>
  <x:si>
    <x:t xml:space="preserve">Test ID</x:t>
  </x:si>
  <x:si>
    <x:t xml:space="preserve">Ders Kapısı</x:t>
  </x:si>
  <x:si>
    <x:t xml:space="preserve">Proje Gate</x:t>
  </x:si>
  <x:si>
    <x:t xml:space="preserve">Test Konusu</x:t>
  </x:si>
  <x:si>
    <x:t xml:space="preserve">Düzenek</x:t>
  </x:si>
  <x:si>
    <x:t xml:space="preserve">Prosedür</x:t>
  </x:si>
  <x:si>
    <x:t xml:space="preserve">Kabul Kriteri</x:t>
  </x:si>
  <x:si>
    <x:t xml:space="preserve">Sorumlu</x:t>
  </x:si>
  <x:si>
    <x:t xml:space="preserve">İlgili SYS</x:t>
  </x:si>
  <x:si>
    <x:t xml:space="preserve">T-PRE-01</x:t>
  </x:si>
  <x:si>
    <x:t xml:space="preserve">1. dönem 3.–4. hafta</x:t>
  </x:si>
  <x:si>
    <x:t xml:space="preserve">W4 hazırlık</x:t>
  </x:si>
  <x:si>
    <x:t xml:space="preserve">ECM/MEMS LF datasheet kontrolü</x:t>
  </x:si>
  <x:si>
    <x:t xml:space="preserve">Üretici datasheetleri</x:t>
  </x:si>
  <x:si>
    <x:t xml:space="preserve">Her aday için lower −3 dB açıkça veriliyorsa kaydet; verilmiyorsa bunu belirt.</x:t>
  </x:si>
  <x:si>
    <x:t xml:space="preserve">Kaynaklı LF bilgi + satın alma aday kararı.</x:t>
  </x:si>
  <x:si>
    <x:t xml:space="preserve">Kaan (A) + Ozan sourcing</x:t>
  </x:si>
  <x:si>
    <x:t xml:space="preserve">PLANLI</x:t>
  </x:si>
  <x:si>
    <x:t xml:space="preserve">SYS-021</x:t>
  </x:si>
  <x:si>
    <x:t xml:space="preserve">T-E2E-01</x:t>
  </x:si>
  <x:si>
    <x:t xml:space="preserve">1. dönem 5. hafta</x:t>
  </x:si>
  <x:si>
    <x:t xml:space="preserve">G1</x:t>
  </x:si>
  <x:si>
    <x:t xml:space="preserve">Baştan sona bilinen test işareti</x:t>
  </x:si>
  <x:si>
    <x:t xml:space="preserve">MCU + PC</x:t>
  </x:si>
  <x:si>
    <x:t xml:space="preserve">Module B sentetik işaret üretir; Module C capture doğrular.</x:t>
  </x:si>
  <x:si>
    <x:t xml:space="preserve">Bilinen işaret E2E alınmış; continuity gözlenebilir.</x:t>
  </x:si>
  <x:si>
    <x:t xml:space="preserve">Ozan (B) + Ege (C)</x:t>
  </x:si>
  <x:si>
    <x:t xml:space="preserve">SYS-001/026</x:t>
  </x:si>
  <x:si>
    <x:t xml:space="preserve">T-I2S-01</x:t>
  </x:si>
  <x:si>
    <x:t xml:space="preserve">1. dönem 5.–6. hafta</x:t>
  </x:si>
  <x:si>
    <x:t xml:space="preserve">I²S/ADC edinim saat ve formatı</x:t>
  </x:si>
  <x:si>
    <x:t xml:space="preserve">Mantık analizörü / scope</x:t>
  </x:si>
  <x:si>
    <x:t xml:space="preserve">Seçili transducer path'in sample clock/data formatını ölç.</x:t>
  </x:si>
  <x:si>
    <x:t xml:space="preserve">Seçili profile datasheet/firmware ile tutarlı.</x:t>
  </x:si>
  <x:si>
    <x:t xml:space="preserve">Ozan (B)</x:t>
  </x:si>
  <x:si>
    <x:t xml:space="preserve">SYS-003/004</x:t>
  </x:si>
  <x:si>
    <x:t xml:space="preserve">T-USB-01</x:t>
  </x:si>
  <x:si>
    <x:t xml:space="preserve">1. dönem 8. hafta</x:t>
  </x:si>
  <x:si>
    <x:t xml:space="preserve">W8</x:t>
  </x:si>
  <x:si>
    <x:t xml:space="preserve">≥30 dk continuous stream / continuity</x:t>
  </x:si>
  <x:si>
    <x:t xml:space="preserve">Native USB aday transport</x:t>
  </x:si>
  <x:si>
    <x:t xml:space="preserve">Kesintisiz stream çalıştır; sequence/overflow telemetry kaydet.</x:t>
  </x:si>
  <x:si>
    <x:t xml:space="preserve">Drop rate ve overrun sayısı otomatik raporlanır; sonuç ölçülür, önceden uydurulmaz.</x:t>
  </x:si>
  <x:si>
    <x:t xml:space="preserve">SYS-005/007</x:t>
  </x:si>
  <x:si>
    <x:t xml:space="preserve">T-USB-02</x:t>
  </x:si>
  <x:si>
    <x:t xml:space="preserve">1. dönem 5.–12. hafta</x:t>
  </x:si>
  <x:si>
    <x:t xml:space="preserve">Protocol verification</x:t>
  </x:si>
  <x:si>
    <x:t xml:space="preserve">Yeniden senkronizasyon / error handling</x:t>
  </x:si>
  <x:si>
    <x:t xml:space="preserve">Kayıtlı byte stream / test doubles</x:t>
  </x:si>
  <x:si>
    <x:t xml:space="preserve">Chosen 3. hafta framing strategy için corruption/gap testleri.</x:t>
  </x:si>
  <x:si>
    <x:t xml:space="preserve">Host failure mode documented; CRC varsa CRC test edilir.</x:t>
  </x:si>
  <x:si>
    <x:t xml:space="preserve">SYS-006</x:t>
  </x:si>
  <x:si>
    <x:t xml:space="preserve">T-AUD-01</x:t>
  </x:si>
  <x:si>
    <x:t xml:space="preserve">20–500 Hz frekans cevabı</x:t>
  </x:si>
  <x:si>
    <x:t xml:space="preserve">Akustik fantom + referans</x:t>
  </x:si>
  <x:si>
    <x:t xml:space="preserve">Complete chain swept/multitone response ölç.</x:t>
  </x:si>
  <x:si>
    <x:t xml:space="preserve">20–500 Hz response curve + conditions raporlanır; sabit ±3 dB target YOK.</x:t>
  </x:si>
  <x:si>
    <x:t xml:space="preserve">Kaan (A) + Ege (C)</x:t>
  </x:si>
  <x:si>
    <x:t xml:space="preserve">SYS-002/025</x:t>
  </x:si>
  <x:si>
    <x:t xml:space="preserve">T-AUD-02</x:t>
  </x:si>
  <x:si>
    <x:t xml:space="preserve">1. dönem 8.–10. hafta</x:t>
  </x:si>
  <x:si>
    <x:t xml:space="preserve">Characterisation</x:t>
  </x:si>
  <x:si>
    <x:t xml:space="preserve">SNR / active-to-quiescent level ratio</x:t>
  </x:si>
  <x:si>
    <x:t xml:space="preserve">Akustik fantom</x:t>
  </x:si>
  <x:si>
    <x:t xml:space="preserve">Sabit gain/coupling altında active ve quiet runs.</x:t>
  </x:si>
  <x:si>
    <x:t xml:space="preserve">Adopted SNR convention ve result dB olarak raporlanır.</x:t>
  </x:si>
  <x:si>
    <x:t xml:space="preserve">SYS-025</x:t>
  </x:si>
  <x:si>
    <x:t xml:space="preserve">T-AUD-03</x:t>
  </x:si>
  <x:si>
    <x:t xml:space="preserve">1. dönem 11. hafta</x:t>
  </x:si>
  <x:si>
    <x:t xml:space="preserve">W11</x:t>
  </x:si>
  <x:si>
    <x:t xml:space="preserve">Tekrarlanabilirlik ≥10</x:t>
  </x:si>
  <x:si>
    <x:t xml:space="preserve">Aynı yapılandırmayı en az 10 kez tekrarla.</x:t>
  </x:si>
  <x:si>
    <x:t xml:space="preserve">Spread/std/CV gibi dispersion metrics script ile raporlanır.</x:t>
  </x:si>
  <x:si>
    <x:t xml:space="preserve">T-AUD-04</x:t>
  </x:si>
  <x:si>
    <x:t xml:space="preserve">1. dönem 12. hafta</x:t>
  </x:si>
  <x:si>
    <x:t xml:space="preserve">W12</x:t>
  </x:si>
  <x:si>
    <x:t xml:space="preserve">Şebeke girişimi</x:t>
  </x:si>
  <x:si>
    <x:t xml:space="preserve">Fantom + spektrum</x:t>
  </x:si>
  <x:si>
    <x:t xml:space="preserve">Türkiye 50 Hz fundamental + harmonikleri; grounding/cable routing koşulları.</x:t>
  </x:si>
  <x:si>
    <x:t xml:space="preserve">50 Hz ve harmonik seviyeleri koşullarıyla raporlanır.</x:t>
  </x:si>
  <x:si>
    <x:t xml:space="preserve">T-AUD-05</x:t>
  </x:si>
  <x:si>
    <x:t xml:space="preserve">1. dönem 9. hafta</x:t>
  </x:si>
  <x:si>
    <x:t xml:space="preserve">G2</x:t>
  </x:si>
  <x:si>
    <x:t xml:space="preserve">Bağımsız bilinen phantom input / feasibility</x:t>
  </x:si>
  <x:si>
    <x:t xml:space="preserve">Akustik fantom + CirCor</x:t>
  </x:si>
  <x:si>
    <x:t xml:space="preserve">Known PCG fiziksel replay; capture/source sayısal ve S1/S2 recognizable kontrolü.</x:t>
  </x:si>
  <x:si>
    <x:t xml:space="preserve">Recognisable S1/S2 + quantitative comparison evidence.</x:t>
  </x:si>
  <x:si>
    <x:t xml:space="preserve">Kaan (A) + Ozan (B) + Ege (C)</x:t>
  </x:si>
  <x:si>
    <x:t xml:space="preserve">T-AUD-06</x:t>
  </x:si>
  <x:si>
    <x:t xml:space="preserve">1. dönem 10. hafta</x:t>
  </x:si>
  <x:si>
    <x:t xml:space="preserve">W10</x:t>
  </x:si>
  <x:si>
    <x:t xml:space="preserve">ECM / MEMS karşılaştırması</x:t>
  </x:si>
  <x:si>
    <x:t xml:space="preserve">Aynı akustik fantom</x:t>
  </x:si>
  <x:si>
    <x:t xml:space="preserve">Seçili 1 ECM ve 1 MEMS aynı koşullarda ölçülür.</x:t>
  </x:si>
  <x:si>
    <x:t xml:space="preserve">Response + SNR comparison; final choice measurement-justified. Repeatability campaign W11.</x:t>
  </x:si>
  <x:si>
    <x:t xml:space="preserve">Kaan (A) + Ege (C); Ozan data path support</x:t>
  </x:si>
  <x:si>
    <x:t xml:space="preserve">SYS-021/025</x:t>
  </x:si>
  <x:si>
    <x:t xml:space="preserve">T-LAT-01</x:t>
  </x:si>
  <x:si>
    <x:t xml:space="preserve">Uçtan uca acquisition latency</x:t>
  </x:si>
  <x:si>
    <x:t xml:space="preserve">Bilinen uyaran + donanım işaretleyicisi</x:t>
  </x:si>
  <x:si>
    <x:t xml:space="preserve">Stimulus -&gt; host sample ingestion boundary ölç.</x:t>
  </x:si>
  <x:si>
    <x:t xml:space="preserve">Latency mean/jitter betik tarafından üretilen; GUI render hariç.</x:t>
  </x:si>
  <x:si>
    <x:t xml:space="preserve">T-PKT-01</x:t>
  </x:si>
  <x:si>
    <x:t xml:space="preserve">Dropped-packet rate</x:t>
  </x:si>
  <x:si>
    <x:t xml:space="preserve">≥30 dk continuous stream</x:t>
  </x:si>
  <x:si>
    <x:t xml:space="preserve">Monotonic continuity mechanism ile missed samples/frames hesapla.</x:t>
  </x:si>
  <x:si>
    <x:t xml:space="preserve">Drop rate otomatik raporlanır.</x:t>
  </x:si>
  <x:si>
    <x:t xml:space="preserve">T-PROT-01</x:t>
  </x:si>
  <x:si>
    <x:t xml:space="preserve">S2</x:t>
  </x:si>
  <x:si>
    <x:t xml:space="preserve">Breadboard / lehimli prototip karşılaştırması</x:t>
  </x:si>
  <x:si>
    <x:t xml:space="preserve">Aynı test düzeneği</x:t>
  </x:si>
  <x:si>
    <x:t xml:space="preserve">Aynı selected acquisition chain iki construction level'da ölç.</x:t>
  </x:si>
  <x:si>
    <x:t xml:space="preserve">Noise/SNR/repeatability difference raporlanır.</x:t>
  </x:si>
  <x:si>
    <x:t xml:space="preserve">Kaan (A)</x:t>
  </x:si>
  <x:si>
    <x:t xml:space="preserve">SYS-022/025</x:t>
  </x:si>
  <x:si>
    <x:t xml:space="preserve">T-MOD-A</x:t>
  </x:si>
  <x:si>
    <x:t xml:space="preserve">2. dönem 7. hafta</x:t>
  </x:si>
  <x:si>
    <x:t xml:space="preserve">G5</x:t>
  </x:si>
  <x:si>
    <x:t xml:space="preserve">Modül A bağımsız doğrulama</x:t>
  </x:si>
  <x:si>
    <x:t xml:space="preserve">Hardware/phantom tests</x:t>
  </x:si>
  <x:si>
    <x:t xml:space="preserve">Module A own tests/interface.</x:t>
  </x:si>
  <x:si>
    <x:t xml:space="preserve">Module isolated verification complete.</x:t>
  </x:si>
  <x:si>
    <x:t xml:space="preserve">SYS-027</x:t>
  </x:si>
  <x:si>
    <x:t xml:space="preserve">T-MOD-B</x:t>
  </x:si>
  <x:si>
    <x:t xml:space="preserve">Modül B bağımsız doğrulama</x:t>
  </x:si>
  <x:si>
    <x:t xml:space="preserve">Firmware + logic analyser</x:t>
  </x:si>
  <x:si>
    <x:t xml:space="preserve">Sampling/DMA/continuity/protocol tests.</x:t>
  </x:si>
  <x:si>
    <x:t xml:space="preserve">T-MOD-C</x:t>
  </x:si>
  <x:si>
    <x:t xml:space="preserve">Modül C bağımsız doğrulama</x:t>
  </x:si>
  <x:si>
    <x:t xml:space="preserve">pcg_core + pcg_app</x:t>
  </x:si>
  <x:si>
    <x:t xml:space="preserve">Temiz depo kopyasından otomatik testler + device integration tests.</x:t>
  </x:si>
  <x:si>
    <x:t xml:space="preserve">Ege (C)</x:t>
  </x:si>
  <x:si>
    <x:t xml:space="preserve">T-QUAL-01</x:t>
  </x:si>
  <x:si>
    <x:t xml:space="preserve">1. dönem 10.–12. hafta</x:t>
  </x:si>
  <x:si>
    <x:t xml:space="preserve">W10–W12</x:t>
  </x:si>
  <x:si>
    <x:t xml:space="preserve">Kayıt kalite kontrolü</x:t>
  </x:si>
  <x:si>
    <x:t xml:space="preserve">PC app + phantom artefacts</x:t>
  </x:si>
  <x:si>
    <x:t xml:space="preserve">Calibrate threshold on phantom; inject clipping/contact-loss/interference.</x:t>
  </x:si>
  <x:si>
    <x:t xml:space="preserve">Detection behavior/rate reported; thresholds not pre-invented.</x:t>
  </x:si>
  <x:si>
    <x:t xml:space="preserve">Ege (C), Kaan artefact setup</x:t>
  </x:si>
  <x:si>
    <x:t xml:space="preserve">SYS-008/026</x:t>
  </x:si>
  <x:si>
    <x:t xml:space="preserve">T-PWR-01</x:t>
  </x:si>
  <x:si>
    <x:t xml:space="preserve">USB / batarya rail</x:t>
  </x:si>
  <x:si>
    <x:t xml:space="preserve">Bench power setup</x:t>
  </x:si>
  <x:si>
    <x:t xml:space="preserve">USB ve battery conditions ölç.</x:t>
  </x:si>
  <x:si>
    <x:t xml:space="preserve">Measured rail stability/noise reported.</x:t>
  </x:si>
  <x:si>
    <x:t xml:space="preserve">Ozan (B) + Kaan (A)</x:t>
  </x:si>
  <x:si>
    <x:t xml:space="preserve">SYS-011</x:t>
  </x:si>
  <x:si>
    <x:t xml:space="preserve">T-PWR-02</x:t>
  </x:si>
  <x:si>
    <x:t xml:space="preserve">Charge/protection if battery implemented</x:t>
  </x:si>
  <x:si>
    <x:t xml:space="preserve">Li-Po + protection/charger</x:t>
  </x:si>
  <x:si>
    <x:t xml:space="preserve">Chosen power architecture test.</x:t>
  </x:si>
  <x:si>
    <x:t xml:space="preserve">Datasheet-based limits and measured behavior.</x:t>
  </x:si>
  <x:si>
    <x:t xml:space="preserve">SYS-012/014</x:t>
  </x:si>
  <x:si>
    <x:t xml:space="preserve">T-PWR-03</x:t>
  </x:si>
  <x:si>
    <x:t xml:space="preserve">Çalışma süresi</x:t>
  </x:si>
  <x:si>
    <x:t xml:space="preserve">Seçilen batarya</x:t>
  </x:si>
  <x:si>
    <x:t xml:space="preserve">Continuous acquisition + recording.</x:t>
  </x:si>
  <x:si>
    <x:t xml:space="preserve">Measured runtime reported; no pre-frozen 3 h acceptance gate.</x:t>
  </x:si>
  <x:si>
    <x:t xml:space="preserve">SYS-013</x:t>
  </x:si>
  <x:si>
    <x:t xml:space="preserve">T-CHAR-01</x:t>
  </x:si>
  <x:si>
    <x:t xml:space="preserve">Final characterisation</x:t>
  </x:si>
  <x:si>
    <x:t xml:space="preserve">Tam karakterizasyon kampanyası</x:t>
  </x:si>
  <x:si>
    <x:t xml:space="preserve">Akustik fantom + automation</x:t>
  </x:si>
  <x:si>
    <x:t xml:space="preserve">Mandatory six metrics + construction/conditions campaign.</x:t>
  </x:si>
  <x:si>
    <x:t xml:space="preserve">Reproducible report output.</x:t>
  </x:si>
  <x:si>
    <x:t xml:space="preserve">Team; each module owns its part</x:t>
  </x:si>
  <x:si>
    <x:t xml:space="preserve">SYS-025/026</x:t>
  </x:si>
  <x:si>
    <x:t xml:space="preserve">DERS KAPILARI — 1. dönem 5. hafta: ilk uçtan uca sinyal • 1. dönem 9. hafta: bağımsız bilinen girişe karşı doğrulama • 2. dönem 7. hafta: tüm alt sistemlerin ayrı doğrulanması</x:t>
  </x:si>
  <x:si>
    <x:t xml:space="preserve">ALTERNATİFLER VE DEĞİŞİKLİK POLİTİKASI | REV01</x:t>
  </x:si>
  <x:si>
    <x:t xml:space="preserve">Danışman kapsamı ve gate koşulları sabittir. Aşağıdaki ekip uygulama tercihleri, planlanan 3. hafta kararı ve 4. hafta gereksinim dondurmasına kadar ÖNERİLEN/AÇIK olarak tutulur; hiçbir erken tercih 'kilitli' kabul edilmez.</x:t>
  </x:si>
  <x:si>
    <x:t xml:space="preserve">Rev01 Tasarım Durumu</x:t>
  </x:si>
  <x:si>
    <x:t xml:space="preserve">Alternatif / Koşullu Seçenek</x:t>
  </x:si>
  <x:si>
    <x:t xml:space="preserve">Karar Zamanı</x:t>
  </x:si>
  <x:si>
    <x:t xml:space="preserve">Karar Ölçütü</x:t>
  </x:si>
  <x:si>
    <x:t xml:space="preserve">Etkilenen Alan</x:t>
  </x:si>
  <x:si>
    <x:t xml:space="preserve">Dönüştürücü</x:t>
  </x:si>
  <x:si>
    <x:t xml:space="preserve">1 ECM ailesi + 1 MEMS ailesi</x:t>
  </x:si>
  <x:si>
    <x:t xml:space="preserve">ECM: Kingstate KECG2740PBJ ana satın alma adayı; Same Sky CMC-6036-40T yedek. MEMS: PUI DMM-4026-B-I2S-R.</x:t>
  </x:si>
  <x:si>
    <x:t xml:space="preserve">DANIŞMAN GEREKSİNİMİ + PARÇALAR AÇIK</x:t>
  </x:si>
  <x:si>
    <x:t xml:space="preserve">3. hafta seçim / 4. hafta dondurma</x:t>
  </x:si>
  <x:si>
    <x:t xml:space="preserve">Düşük frekans veri sayfası kanıtı + 20–500 Hz cevap + SNR + ≥10 tekrar</x:t>
  </x:si>
  <x:si>
    <x:t xml:space="preserve">Akustik + edinim</x:t>
  </x:si>
  <x:si>
    <x:t xml:space="preserve">Danışman planı + veri sayfaları</x:t>
  </x:si>
  <x:si>
    <x:t xml:space="preserve">Low-noise AFE required for ECM path</x:t>
  </x:si>
  <x:si>
    <x:t xml:space="preserve">MCP6022-I/P current breadboard aday</x:t>
  </x:si>
  <x:si>
    <x:t xml:space="preserve">ÖNERİLEN</x:t>
  </x:si>
  <x:si>
    <x:t xml:space="preserve">3. hafta–4</x:t>
  </x:si>
  <x:si>
    <x:t xml:space="preserve">Noise floor + gain/bandwidth + supply compatibility</x:t>
  </x:si>
  <x:si>
    <x:t xml:space="preserve">Module A</x:t>
  </x:si>
  <x:si>
    <x:t xml:space="preserve">Component list + supplier/datasheet</x:t>
  </x:si>
  <x:si>
    <x:t xml:space="preserve">MEMS yolu</x:t>
  </x:si>
  <x:si>
    <x:t xml:space="preserve">PUI DMM-4026-B-I2S-R sensör</x:t>
  </x:si>
  <x:si>
    <x:t xml:space="preserve">DMM-4026-B-I2S-EB-R değerlendirme kartı ilk bench taşıyıcısı olarak kullanılabilir; sensör MPN ayrı tutulur.</x:t>
  </x:si>
  <x:si>
    <x:t xml:space="preserve">3.–4. hafta</x:t>
  </x:si>
  <x:si>
    <x:t xml:space="preserve">I²S zamanlaması + phantom cevabı</x:t>
  </x:si>
  <x:si>
    <x:t xml:space="preserve">B arayüzü</x:t>
  </x:si>
  <x:si>
    <x:t xml:space="preserve">PUI veri sayfası</x:t>
  </x:si>
  <x:si>
    <x:t xml:space="preserve">ESP32-S3 working aday</x:t>
  </x:si>
  <x:si>
    <x:t xml:space="preserve">Kesin DevKit varyantı doğrulaması</x:t>
  </x:si>
  <x:si>
    <x:t xml:space="preserve">3. hafta selection / 4. hafta dondurma</x:t>
  </x:si>
  <x:si>
    <x:t xml:space="preserve">I²S/ADC + DMA + native wired transport + availability</x:t>
  </x:si>
  <x:si>
    <x:t xml:space="preserve">Module B</x:t>
  </x:si>
  <x:si>
    <x:t xml:space="preserve">Espressif + advisor embedded requirements</x:t>
  </x:si>
  <x:si>
    <x:t xml:space="preserve">USB transport class</x:t>
  </x:si>
  <x:si>
    <x:t xml:space="preserve">ESP32-S3 yerel USB physical capability</x:t>
  </x:si>
  <x:si>
    <x:t xml:space="preserve">CDC-ACM vs vendor/bulk framing</x:t>
  </x:si>
  <x:si>
    <x:t xml:space="preserve">AÇIK — 3. HAFTA</x:t>
  </x:si>
  <x:si>
    <x:t xml:space="preserve">Throughput, implementation complexity, host support, observability</x:t>
  </x:si>
  <x:si>
    <x:t xml:space="preserve">B↔C</x:t>
  </x:si>
  <x:si>
    <x:t xml:space="preserve">3. hafta B↔C gereksinimleri</x:t>
  </x:si>
  <x:si>
    <x:t xml:space="preserve">Protocol integrity</x:t>
  </x:si>
  <x:si>
    <x:t xml:space="preserve">Sequence/continuity mechanism required</x:t>
  </x:si>
  <x:si>
    <x:t xml:space="preserve">Application CRC/checksum vs USB lower-layer integrity only</x:t>
  </x:si>
  <x:si>
    <x:t xml:space="preserve">Taslak; 12. hafta protokol dondurma</x:t>
  </x:si>
  <x:si>
    <x:t xml:space="preserve">Detectability, resync, CPU overhead, testability</x:t>
  </x:si>
  <x:si>
    <x:t xml:space="preserve">Breadboard + soldered prototype comparison</x:t>
  </x:si>
  <x:si>
    <x:t xml:space="preserve">Custom PCB only if measurements justify</x:t>
  </x:si>
  <x:si>
    <x:t xml:space="preserve">DANIŞMAN GEREKSİNİMİ + ÖZEL PCB KOŞULLU</x:t>
  </x:si>
  <x:si>
    <x:t xml:space="preserve">Semester I/II</x:t>
  </x:si>
  <x:si>
    <x:t xml:space="preserve">Noise + SNR + repeatability</x:t>
  </x:si>
  <x:si>
    <x:t xml:space="preserve">Hardware</x:t>
  </x:si>
  <x:si>
    <x:t xml:space="preserve">Advisor plan</x:t>
  </x:si>
  <x:si>
    <x:t xml:space="preserve">Güç</x:t>
  </x:si>
  <x:si>
    <x:t xml:space="preserve">USB power sufficient for Semester-I bench baseline</x:t>
  </x:si>
  <x:si>
    <x:t xml:space="preserve">Battery/charger/regulator architecture</x:t>
  </x:si>
  <x:si>
    <x:t xml:space="preserve">Noise, runtime, protection, power measurement</x:t>
  </x:si>
  <x:si>
    <x:t xml:space="preserve">Power</x:t>
  </x:si>
  <x:si>
    <x:t xml:space="preserve">Advisor Grup B list</x:t>
  </x:si>
  <x:si>
    <x:t xml:space="preserve">CirCor DigiScope primary</x:t>
  </x:si>
  <x:si>
    <x:t xml:space="preserve">CinC 2016 only advisor-listed alternative if needed; do not switch casually</x:t>
  </x:si>
  <x:si>
    <x:t xml:space="preserve">SABİT BİRİNCİL VERİ SETİ</x:t>
  </x:si>
  <x:si>
    <x:t xml:space="preserve">Project start</x:t>
  </x:si>
  <x:si>
    <x:t xml:space="preserve">Reproducibility</x:t>
  </x:si>
  <x:si>
    <x:t xml:space="preserve">Module C / research</x:t>
  </x:si>
  <x:si>
    <x:t xml:space="preserve">SİPARİŞ VE TEDARİK KAYITLARI | REV01</x:t>
  </x:si>
  <x:si>
    <x:t xml:space="preserve">Bu sayfa yalnız GERÇEK sipariş verildiğinde doldurulur. TRY fiyat, URL, sipariş tarihi, teslim tarihi ve belge numarası kaydedilir.</x:t>
  </x:si>
  <x:si>
    <x:t xml:space="preserve">Kalem ID</x:t>
  </x:si>
  <x:si>
    <x:t xml:space="preserve">Gerçek MPN / Tanım</x:t>
  </x:si>
  <x:si>
    <x:t xml:space="preserve">Sipariş Adedi</x:t>
  </x:si>
  <x:si>
    <x:t xml:space="preserve">Ürün URL</x:t>
  </x:si>
  <x:si>
    <x:t xml:space="preserve">Sipariş Tarihi</x:t>
  </x:si>
  <x:si>
    <x:t xml:space="preserve">Teslim Tarihi</x:t>
  </x:si>
  <x:si>
    <x:t xml:space="preserve">Fiş / Sipariş No</x:t>
  </x:si>
  <x:si>
    <x:t xml:space="preserve">Akustik stetoskop göğüs başlığı</x:t>
  </x:si>
  <x:si>
    <x:t xml:space="preserve">MEMS mikrofon (dijital)</x:t>
  </x:si>
  <x:si>
    <x:t xml:space="preserve">Düşük gürültülü operasyonel yükselteç</x:t>
  </x:si>
  <x:si>
    <x:t xml:space="preserve">Küçük transdüser / eksitör</x:t>
  </x:si>
  <x:si>
    <x:t xml:space="preserve">Silikon levha / jel ped</x:t>
  </x:si>
  <x:si>
    <x:t xml:space="preserve">Düşük gürültülü gerilim regülatörü</x:t>
  </x:si>
  <x:si>
    <x:t xml:space="preserve">Fotopletismografi (PPG) modülü</x:t>
  </x:si>
  <x:si>
    <x:t xml:space="preserve">Özel baskı devre kartı</x:t>
  </x:si>
  <x:si>
    <x:t xml:space="preserve">TOPLAM GERÇEKLEŞMİŞ HARCAMA (TRY)</x:t>
  </x:si>
  <x:si>
    <x:t xml:space="preserve">Kayıt kuralı: Gerçek sipariş dışında fiyat hücreleri doldurulmaz. Canlı aday fiyat/stok verisi Satın_Alma sayfasındadır; sipariş anında tekrar doğrulanır.</x:t>
  </x:si>
</x:sst>
</file>

<file path=xl/styles.xml><?xml version="1.0" encoding="utf-8"?>
<x:styleSheet xmlns:x="http://schemas.openxmlformats.org/spreadsheetml/2006/main">
  <x:numFmts count="2">
    <x:numFmt numFmtId="164" formatCode="#,##0.00\ &quot;₺&quot;"/>
    <x:numFmt numFmtId="200" formatCode="#,##0.00 &quot;TRY&quot;"/>
  </x:numFmts>
  <x:fonts count="9">
    <x:font>
      <x:sz val="11"/>
      <x:name val="Carlito"/>
    </x:font>
    <x:font>
      <x:b/>
      <x:sz val="14"/>
      <x:color rgb="FFFFFFFF"/>
      <x:name val="Carlito"/>
    </x:font>
    <x:font>
      <x:b/>
      <x:sz val="10"/>
      <x:color rgb="FFFFFFFF"/>
      <x:name val="Carlito"/>
    </x:font>
    <x:font>
      <x:sz val="10"/>
      <x:color rgb="FF1F1F1F"/>
      <x:name val="Carlito"/>
    </x:font>
    <x:font>
      <x:b/>
      <x:sz val="11"/>
      <x:color rgb="FFFFFFFF"/>
      <x:name val="Carlito"/>
    </x:font>
    <x:font>
      <x:b/>
      <x:sz val="10"/>
      <x:color rgb="FF1F1F1F"/>
      <x:name val="Carlito"/>
    </x:font>
    <x:font>
      <x:b/>
      <x:sz val="11"/>
      <x:color rgb="FF1F1F1F"/>
      <x:name val="Carlito"/>
    </x:font>
    <x:font>
      <x:sz val="11"/>
      <x:color rgb="FF1F1F1F"/>
      <x:name val="Carlito"/>
    </x:font>
    <x:font>
      <x:i/>
      <x:sz val="10"/>
      <x:color rgb="FF17324D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EAF3F8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F2F2F2"/>
      </x:patternFill>
    </x:fill>
    <x:fill>
      <x:patternFill patternType="solid">
        <x:fgColor rgb="FF0B6B75"/>
      </x:patternFill>
    </x:fill>
    <x:fill>
      <x:patternFill patternType="solid">
        <x:fgColor rgb="FFDDEFF2"/>
      </x:patternFill>
    </x:fill>
    <x:fill>
      <x:patternFill patternType="solid">
        <x:fgColor rgb="FF16324F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E7E6E6"/>
      </x:patternFill>
    </x:fill>
    <x:fill>
      <x:patternFill patternType="solid">
        <x:fgColor rgb="FF0B6B75"/>
      </x:patternFill>
    </x:fill>
    <x:fill>
      <x:patternFill patternType="solid">
        <x:fgColor rgb="FFDDEFF2"/>
      </x:patternFill>
    </x:fill>
  </x:fills>
  <x:borders count="2">
    <x:border/>
    <x:border/>
  </x:borders>
  <x:cellStyleXfs count="1">
    <x:xf numFmtId="0" fontId="0" fillId="0" borderId="0"/>
  </x:cellStyleXfs>
  <x:cellXfs count="89">
    <x:xf numFmtId="0" fontId="0" fillId="0" borderId="0" xfId="0"/>
    <x:xf numFmtId="0" fontId="2" fillId="3" borderId="0" xfId="0" applyFont="1" applyFill="1" applyAlignment="1">
      <x:alignment horizontal="center" vertical="center" wrapText="1"/>
    </x:xf>
    <x:xf numFmtId="0" fontId="3" fillId="0" borderId="0" xfId="0" applyFont="1" applyAlignment="1">
      <x:alignment vertical="top" wrapText="1"/>
    </x:xf>
    <x:xf numFmtId="0" fontId="3" fillId="4" borderId="0" xfId="0" applyFont="1" applyFill="1" applyAlignment="1">
      <x:alignment vertical="top" wrapText="1"/>
    </x:xf>
    <x:xf numFmtId="0" fontId="3" fillId="5" borderId="0" xfId="0" applyFont="1" applyFill="1" applyAlignment="1">
      <x:alignment vertical="top" wrapText="1"/>
    </x:xf>
    <x:xf numFmtId="0" fontId="3" fillId="6" borderId="0" xfId="0" applyFont="1" applyFill="1" applyAlignment="1">
      <x:alignment vertical="top" wrapText="1"/>
    </x:xf>
    <x:xf numFmtId="0" fontId="3" fillId="7" borderId="0" xfId="0" applyFont="1" applyFill="1" applyAlignment="1">
      <x:alignment vertical="top" wrapText="1"/>
    </x:xf>
    <x:xf numFmtId="0" fontId="3" fillId="8" borderId="0" xfId="0" applyFont="1" applyFill="1" applyAlignment="1">
      <x:alignment vertical="top" wrapText="1"/>
    </x:xf>
    <x:xf numFmtId="0" fontId="2" fillId="11" borderId="0" xfId="0" applyFont="1" applyFill="1" applyAlignment="1">
      <x:alignment horizontal="center" vertical="center" wrapText="1"/>
    </x:xf>
    <x:xf numFmtId="0" fontId="0" fillId="0" borderId="0" xfId="0" applyAlignment="1">
      <x:alignment wrapText="1"/>
    </x:xf>
    <x:xf numFmtId="0" fontId="3" fillId="12" borderId="0" xfId="0" applyFont="1" applyFill="1" applyAlignment="1">
      <x:alignment vertical="top" wrapText="1"/>
    </x:xf>
    <x:xf numFmtId="0" fontId="0" fillId="12" borderId="0" xfId="0" applyFill="1" applyAlignment="1">
      <x:alignment wrapText="1"/>
    </x:xf>
    <x:xf numFmtId="0" fontId="3" fillId="13" borderId="0" xfId="0" applyFont="1" applyFill="1" applyAlignment="1">
      <x:alignment vertical="top" wrapText="1"/>
    </x:xf>
    <x:xf numFmtId="0" fontId="0" fillId="13" borderId="0" xfId="0" applyFill="1" applyAlignment="1">
      <x:alignment wrapText="1"/>
    </x:xf>
    <x:xf numFmtId="0" fontId="3" fillId="14" borderId="0" xfId="0" applyFont="1" applyFill="1" applyAlignment="1">
      <x:alignment vertical="top" wrapText="1"/>
    </x:xf>
    <x:xf numFmtId="0" fontId="0" fillId="14" borderId="0" xfId="0" applyFill="1" applyAlignment="1">
      <x:alignment wrapText="1"/>
    </x:xf>
    <x:xf numFmtId="164" fontId="3" fillId="12" borderId="0" xfId="0" applyNumberFormat="1" applyFont="1" applyFill="1" applyAlignment="1">
      <x:alignment vertical="top" wrapText="1"/>
    </x:xf>
    <x:xf numFmtId="164" fontId="3" fillId="13" borderId="0" xfId="0" applyNumberFormat="1" applyFont="1" applyFill="1" applyAlignment="1">
      <x:alignment vertical="top" wrapText="1"/>
    </x:xf>
    <x:xf numFmtId="164" fontId="3" fillId="14" borderId="0" xfId="0" applyNumberFormat="1" applyFont="1" applyFill="1" applyAlignment="1">
      <x:alignment vertical="top" wrapText="1"/>
    </x:xf>
    <x:xf numFmtId="164" fontId="3" fillId="0" borderId="0" xfId="0" applyNumberFormat="1" applyFont="1" applyAlignment="1">
      <x:alignment vertical="top" wrapText="1"/>
    </x:xf>
    <x:xf numFmtId="164" fontId="0" fillId="0" borderId="0" xfId="0" applyNumberFormat="1" applyAlignment="1">
      <x:alignment wrapText="1"/>
    </x:xf>
    <x:xf numFmtId="164" fontId="6" fillId="4" borderId="0" xfId="0" applyNumberFormat="1" applyFont="1" applyFill="1" applyAlignment="1">
      <x:alignment wrapText="1"/>
    </x:xf>
    <x:xf numFmtId="0" fontId="4" fillId="3" borderId="0" xfId="0" applyFont="1" applyFill="1" applyAlignment="1">
      <x:alignment horizontal="left" wrapText="1"/>
    </x:xf>
    <x:xf numFmtId="0" fontId="1" fillId="15" borderId="0" xfId="0" applyFont="1" applyFill="1" applyAlignment="1">
      <x:alignment horizontal="left" vertical="center" wrapText="1"/>
    </x:xf>
    <x:xf numFmtId="0" fontId="8" fillId="16" borderId="0" xfId="0" applyFont="1" applyFill="1" applyAlignment="1">
      <x:alignment horizontal="left" vertical="center" wrapText="1"/>
    </x:xf>
    <x:xf numFmtId="0" fontId="5" fillId="2" borderId="0" xfId="0" applyFont="1" applyFill="1" applyAlignment="1">
      <x:alignment wrapText="1"/>
    </x:xf>
    <x:xf numFmtId="0" fontId="5" fillId="6" borderId="0" xfId="0" applyFont="1" applyFill="1" applyAlignment="1">
      <x:alignment wrapText="1"/>
    </x:xf>
    <x:xf numFmtId="0" fontId="1" fillId="9" borderId="0" xfId="0" applyFont="1" applyFill="1" applyAlignment="1">
      <x:alignment horizontal="left" vertical="center" wrapText="1"/>
    </x:xf>
    <x:xf numFmtId="0" fontId="1" fillId="9" borderId="0" xfId="0" applyFont="1" applyFill="1" applyAlignment="1">
      <x:alignment vertical="center"/>
    </x:xf>
    <x:xf numFmtId="0" fontId="8" fillId="10" borderId="0" xfId="0" applyFont="1" applyFill="1" applyAlignment="1">
      <x:alignment horizontal="left" vertical="center" wrapText="1"/>
    </x:xf>
    <x:xf numFmtId="0" fontId="8" fillId="10" borderId="0" xfId="0" applyFont="1" applyFill="1" applyAlignment="1">
      <x:alignment vertical="center" wrapText="1"/>
    </x:xf>
    <x:xf numFmtId="0" fontId="1" fillId="9" borderId="0" xfId="0" applyFont="1" applyFill="1" applyAlignment="1">
      <x:alignment vertical="center" wrapText="1"/>
    </x:xf>
    <x:xf numFmtId="0" fontId="6" fillId="2" borderId="0" xfId="0" applyFont="1" applyFill="1" applyAlignment="1">
      <x:alignment wrapText="1"/>
    </x:xf>
    <x:xf numFmtId="0" fontId="4" fillId="3" borderId="0" xfId="0" applyFont="1" applyFill="1" applyAlignment="1">
      <x:alignment wrapText="1"/>
    </x:xf>
    <x:xf numFmtId="0" fontId="7" fillId="8" borderId="0" xfId="0" applyFont="1" applyFill="1" applyAlignment="1">
      <x:alignment vertical="top" wrapText="1"/>
    </x:xf>
    <x:xf numFmtId="0" fontId="4" fillId="3" borderId="0" xfId="0" applyFont="1" applyFill="1" applyAlignment="1">
      <x:alignment horizontal="right" wrapText="1"/>
    </x:xf>
    <x:xf numFmtId="164" fontId="4" fillId="3" borderId="0" xfId="0" applyNumberFormat="1" applyFont="1" applyFill="1" applyAlignment="1">
      <x:alignment horizontal="right" wrapText="1"/>
    </x:xf>
    <x:xf numFmtId="0" fontId="2" fillId="0" borderId="0" xfId="0" applyFont="1" applyFill="1" applyAlignment="1">
      <x:alignment horizontal="center" vertical="center" wrapText="1"/>
    </x:xf>
    <x:xf numFmtId="0" fontId="0" fillId="0" borderId="0" xfId="0" applyFill="1" applyAlignment="1">
      <x:alignment wrapText="1"/>
    </x:xf>
    <x:xf numFmtId="0" fontId="0" fillId="0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3" fillId="7" borderId="1" xfId="0" applyNumberFormat="1" applyFont="1" applyFill="1" applyBorder="1" applyAlignment="1">
      <x:alignment vertical="top" wrapText="1"/>
    </x:xf>
    <x:xf numFmtId="0" fontId="3" fillId="8" borderId="1" xfId="0" applyNumberFormat="1" applyFont="1" applyFill="1" applyBorder="1" applyAlignment="1">
      <x:alignment vertical="top" wrapText="1"/>
    </x:xf>
    <x:xf numFmtId="0" fontId="2" fillId="11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164" fontId="3" fillId="4" borderId="1" xfId="0" applyNumberFormat="1" applyFont="1" applyFill="1" applyBorder="1" applyAlignment="1">
      <x:alignment vertical="top" wrapText="1"/>
    </x:xf>
    <x:xf numFmtId="164" fontId="3" fillId="5" borderId="1" xfId="0" applyNumberFormat="1" applyFont="1" applyFill="1" applyBorder="1" applyAlignment="1">
      <x:alignment vertical="top" wrapText="1"/>
    </x:xf>
    <x:xf numFmtId="164" fontId="3" fillId="7" borderId="1" xfId="0" applyNumberFormat="1" applyFont="1" applyFill="1" applyBorder="1" applyAlignment="1">
      <x:alignment vertical="top" wrapText="1"/>
    </x:xf>
    <x:xf numFmtId="164" fontId="3" fillId="0" borderId="1" xfId="0" applyNumberFormat="1" applyFont="1" applyFill="1" applyBorder="1" applyAlignment="1">
      <x:alignment vertical="top" wrapText="1"/>
    </x:xf>
    <x:xf numFmtId="164" fontId="0" fillId="0" borderId="1" xfId="0" applyNumberFormat="1" applyFont="1" applyFill="1" applyBorder="1" applyAlignment="1">
      <x:alignment wrapText="1"/>
    </x:xf>
    <x:xf numFmtId="164" fontId="6" fillId="4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left" wrapText="1"/>
    </x:xf>
    <x:xf numFmtId="0" fontId="1" fillId="9" borderId="1" xfId="0" applyNumberFormat="1" applyFont="1" applyFill="1" applyBorder="1" applyAlignment="1">
      <x:alignment horizontal="left" vertical="center" wrapText="1"/>
    </x:xf>
    <x:xf numFmtId="0" fontId="8" fillId="10" borderId="1" xfId="0" applyNumberFormat="1" applyFont="1" applyFill="1" applyBorder="1" applyAlignment="1">
      <x:alignment horizontal="left" vertical="center" wrapText="1"/>
    </x:xf>
    <x:xf numFmtId="0" fontId="5" fillId="2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1" fillId="9" borderId="1" xfId="0" applyNumberFormat="1" applyFont="1" applyFill="1" applyBorder="1" applyAlignment="1">
      <x:alignment vertical="center"/>
    </x:xf>
    <x:xf numFmtId="0" fontId="8" fillId="10" borderId="1" xfId="0" applyNumberFormat="1" applyFont="1" applyFill="1" applyBorder="1" applyAlignment="1">
      <x:alignment vertical="center" wrapText="1"/>
    </x:xf>
    <x:xf numFmtId="0" fontId="1" fillId="9" borderId="1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7" fillId="8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horizontal="right" wrapText="1"/>
    </x:xf>
    <x:xf numFmtId="164" fontId="4" fillId="3" borderId="1" xfId="0" applyNumberFormat="1" applyFont="1" applyFill="1" applyBorder="1" applyAlignment="1">
      <x:alignment horizontal="right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200" fontId="3" fillId="4" borderId="0" xfId="0" applyNumberFormat="1" applyFont="1" applyFill="1" applyBorder="1" applyAlignment="1">
      <x:alignment vertical="top" wrapText="1"/>
    </x:xf>
    <x:xf numFmtId="200" fontId="3" fillId="5" borderId="0" xfId="0" applyNumberFormat="1" applyFont="1" applyFill="1" applyBorder="1" applyAlignment="1">
      <x:alignment vertical="top" wrapText="1"/>
    </x:xf>
    <x:xf numFmtId="200" fontId="3" fillId="7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vertical="top" wrapText="1"/>
    </x:xf>
    <x:xf numFmtId="200" fontId="3" fillId="5" borderId="1" xfId="0" applyNumberFormat="1" applyFont="1" applyFill="1" applyBorder="1" applyAlignment="1">
      <x:alignment vertical="top" wrapText="1"/>
    </x:xf>
    <x:xf numFmtId="200" fontId="3" fillId="7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wrapText="1"/>
    </x:xf>
    <x:xf numFmtId="200" fontId="4" fillId="3" borderId="0" xfId="0" applyNumberFormat="1" applyFont="1" applyFill="1" applyBorder="1" applyAlignment="1">
      <x:alignment horizontal="right" wrapText="1"/>
    </x:xf>
    <x:xf numFmtId="200" fontId="6" fillId="4" borderId="0" xfId="0" applyNumberFormat="1" applyFont="1" applyFill="1" applyBorder="1" applyAlignment="1">
      <x:alignment wrapText="1"/>
    </x:xf>
    <x:xf numFmtId="200" fontId="3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wrapText="1"/>
    </x:xf>
    <x:xf numFmtId="200" fontId="4" fillId="3" borderId="1" xfId="0" applyNumberFormat="1" applyFont="1" applyFill="1" applyBorder="1" applyAlignment="1">
      <x:alignment horizontal="right" wrapText="1"/>
    </x:xf>
    <x:xf numFmtId="200" fontId="6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023d67281f4a8e" /><Relationship Type="http://schemas.openxmlformats.org/officeDocument/2006/relationships/theme" Target="/xl/theme/theme1.xml" Id="R32715d860ad640e4" /><Relationship Type="http://schemas.openxmlformats.org/officeDocument/2006/relationships/sharedStrings" Target="/xl/sharedStrings.xml" Id="Rce7329d985b74f50" /><Relationship Type="http://schemas.openxmlformats.org/officeDocument/2006/relationships/worksheet" Target="/xl/worksheets/sheet1.xml" Id="Rffcbd37ffbab4298" /><Relationship Type="http://schemas.openxmlformats.org/officeDocument/2006/relationships/worksheet" Target="/xl/worksheets/sheet2.xml" Id="Ref2ec7708bd04b96" /><Relationship Type="http://schemas.openxmlformats.org/officeDocument/2006/relationships/worksheet" Target="/xl/worksheets/sheet3.xml" Id="R9bdb76c6d99c449b" /><Relationship Type="http://schemas.openxmlformats.org/officeDocument/2006/relationships/worksheet" Target="/xl/worksheets/sheet4.xml" Id="Ra2cbbd14cddd44a7" /><Relationship Type="http://schemas.openxmlformats.org/officeDocument/2006/relationships/worksheet" Target="/xl/worksheets/sheet5.xml" Id="R474a952d90ce4e08" /><Relationship Type="http://schemas.openxmlformats.org/officeDocument/2006/relationships/worksheet" Target="/xl/worksheets/sheet6.xml" Id="Rfc311225f1de4f60" /><Relationship Type="http://schemas.openxmlformats.org/officeDocument/2006/relationships/worksheet" Target="/xl/worksheets/sheet7.xml" Id="Rdf176669922149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4" customWidth="1"/>
    <x:col min="2" max="2" width="28" customWidth="1"/>
    <x:col min="3" max="3" width="70" customWidth="1"/>
    <x:col min="4" max="4" width="36" customWidth="1"/>
    <x:col min="5" max="8" width="18" customWidth="1"/>
  </x:cols>
  <x:sheetData>
    <x:row r="1" ht="27.950000762939453" customHeight="1">
      <x:c r="A1" s="23" t="s">
        <x:v>0</x:v>
      </x:c>
      <x:c r="B1" s="23"/>
      <x:c r="C1" s="23"/>
      <x:c r="D1" s="23"/>
    </x:row>
    <x:row r="2" ht="42" customHeight="1">
      <x:c r="A2" s="24" t="s">
        <x:v>1</x:v>
      </x:c>
      <x:c r="B2" s="24"/>
      <x:c r="C2" s="24"/>
      <x:c r="D2" s="24"/>
    </x:row>
    <x:row r="3">
      <x:c r="A3" s="9"/>
      <x:c r="B3" s="9"/>
      <x:c r="C3" s="9"/>
      <x:c r="D3" s="9"/>
    </x:row>
    <x:row r="4" ht="30" customHeight="1">
      <x:c r="A4" s="1" t="s">
        <x:v>2</x:v>
      </x:c>
      <x:c r="B4" s="1" t="s">
        <x:v>3</x:v>
      </x:c>
      <x:c r="C4" s="1" t="s">
        <x:v>4</x:v>
      </x:c>
      <x:c r="D4" s="9"/>
    </x:row>
    <x:row r="5" ht="39.95000076293945" customHeight="1">
      <x:c r="A5" s="2" t="s">
        <x:v>5</x:v>
      </x:c>
      <x:c r="B5" s="2" t="s">
        <x:v>6</x:v>
      </x:c>
      <x:c r="C5" s="2" t="s">
        <x:v>7</x:v>
      </x:c>
      <x:c r="D5" s="9"/>
    </x:row>
    <x:row r="6" ht="39.95000076293945" customHeight="1">
      <x:c r="A6" s="2" t="s">
        <x:v>8</x:v>
      </x:c>
      <x:c r="B6" s="2" t="s">
        <x:v>9</x:v>
      </x:c>
      <x:c r="C6" s="2" t="s">
        <x:v>10</x:v>
      </x:c>
      <x:c r="D6" s="9"/>
    </x:row>
    <x:row r="7" ht="39.95000076293945" customHeight="1">
      <x:c r="A7" s="2" t="s">
        <x:v>11</x:v>
      </x:c>
      <x:c r="B7" s="2" t="s">
        <x:v>12</x:v>
      </x:c>
      <x:c r="C7" s="2" t="s">
        <x:v>13</x:v>
      </x:c>
      <x:c r="D7" s="9"/>
    </x:row>
    <x:row r="8" ht="39.95000076293945" customHeight="1">
      <x:c r="A8" s="2" t="s">
        <x:v>14</x:v>
      </x:c>
      <x:c r="B8" s="2" t="s">
        <x:v>15</x:v>
      </x:c>
      <x:c r="C8" s="2" t="s">
        <x:v>16</x:v>
      </x:c>
      <x:c r="D8" s="9"/>
    </x:row>
    <x:row r="9" ht="39.95000076293945" customHeight="1">
      <x:c r="A9" s="2" t="s">
        <x:v>17</x:v>
      </x:c>
      <x:c r="B9" s="2" t="s">
        <x:v>18</x:v>
      </x:c>
      <x:c r="C9" s="2" t="s">
        <x:v>19</x:v>
      </x:c>
      <x:c r="D9" s="9"/>
    </x:row>
    <x:row r="10" ht="39.95000076293945" customHeight="1">
      <x:c r="A10" s="2" t="s">
        <x:v>20</x:v>
      </x:c>
      <x:c r="B10" s="2" t="s">
        <x:v>21</x:v>
      </x:c>
      <x:c r="C10" s="2" t="s">
        <x:v>22</x:v>
      </x:c>
      <x:c r="D10" s="9"/>
    </x:row>
    <x:row r="11">
      <x:c r="A11" s="80" t="str">
        <x:v>Test ID standardı</x:v>
      </x:c>
      <x:c r="B11" s="80" t="str">
        <x:v>Test_Matrisi sayfası canonical kayıt</x:v>
      </x:c>
      <x:c r="C11" s="80" t="str">
        <x:v>DSS-SYS-001 Rev01 Bölüm 13 ve Ek C bu Test ID'leri ile senkronize edilmiştir.</x:v>
      </x:c>
      <x:c r="D11" s="9"/>
    </x:row>
    <x:row r="12" ht="15">
      <x:c r="A12" s="22" t="s">
        <x:v>23</x:v>
      </x:c>
      <x:c r="B12" s="22"/>
      <x:c r="C12" s="22"/>
      <x:c r="D12" s="22"/>
    </x:row>
    <x:row r="13" ht="30" customHeight="1">
      <x:c r="A13" s="1" t="s">
        <x:v>24</x:v>
      </x:c>
      <x:c r="B13" s="1" t="s">
        <x:v>25</x:v>
      </x:c>
      <x:c r="C13" s="1" t="s">
        <x:v>26</x:v>
      </x:c>
      <x:c r="D13" s="1" t="s">
        <x:v>27</x:v>
      </x:c>
    </x:row>
    <x:row r="14" ht="25.5">
      <x:c r="A14" s="3" t="s">
        <x:v>28</x:v>
      </x:c>
      <x:c r="B14" s="3" t="s">
        <x:v>29</x:v>
      </x:c>
      <x:c r="C14" s="3" t="s">
        <x:v>30</x:v>
      </x:c>
      <x:c r="D14" s="3" t="s">
        <x:v>31</x:v>
      </x:c>
    </x:row>
    <x:row r="15">
      <x:c r="A15" s="4" t="s">
        <x:v>32</x:v>
      </x:c>
      <x:c r="B15" s="4" t="s">
        <x:v>33</x:v>
      </x:c>
      <x:c r="C15" s="4" t="s">
        <x:v>34</x:v>
      </x:c>
      <x:c r="D15" s="4" t="s">
        <x:v>35</x:v>
      </x:c>
    </x:row>
    <x:row r="16" ht="25.5">
      <x:c r="A16" s="5" t="s">
        <x:v>36</x:v>
      </x:c>
      <x:c r="B16" s="5" t="s">
        <x:v>37</x:v>
      </x:c>
      <x:c r="C16" s="5" t="s">
        <x:v>38</x:v>
      </x:c>
      <x:c r="D16" s="5" t="s">
        <x:v>39</x:v>
      </x:c>
    </x:row>
    <x:row r="17" ht="25.5">
      <x:c r="A17" s="6" t="s">
        <x:v>40</x:v>
      </x:c>
      <x:c r="B17" s="6" t="s">
        <x:v>41</x:v>
      </x:c>
      <x:c r="C17" s="6" t="s">
        <x:v>42</x:v>
      </x:c>
      <x:c r="D17" s="6" t="s">
        <x:v>43</x:v>
      </x:c>
    </x:row>
    <x:row r="18">
      <x:c r="A18" s="9"/>
      <x:c r="B18" s="9"/>
      <x:c r="C18" s="9"/>
      <x:c r="D18" s="9"/>
    </x:row>
    <x:row r="19" ht="15">
      <x:c r="A19" s="22" t="s">
        <x:v>44</x:v>
      </x:c>
      <x:c r="B19" s="22"/>
      <x:c r="C19" s="22"/>
      <x:c r="D19" s="22"/>
    </x:row>
    <x:row r="20" ht="30" customHeight="1">
      <x:c r="A20" s="1" t="s">
        <x:v>45</x:v>
      </x:c>
      <x:c r="B20" s="1" t="s">
        <x:v>46</x:v>
      </x:c>
      <x:c r="C20" s="1" t="s">
        <x:v>47</x:v>
      </x:c>
      <x:c r="D20" s="9"/>
    </x:row>
    <x:row r="21" ht="38.099998474121094" customHeight="1">
      <x:c r="A21" s="2">
        <x:v>1</x:v>
      </x:c>
      <x:c r="B21" s="2" t="s">
        <x:v>48</x:v>
      </x:c>
      <x:c r="C21" s="2" t="s">
        <x:v>49</x:v>
      </x:c>
      <x:c r="D21" s="9"/>
    </x:row>
    <x:row r="22" ht="38.099998474121094" customHeight="1">
      <x:c r="A22" s="2">
        <x:v>2</x:v>
      </x:c>
      <x:c r="B22" s="2" t="s">
        <x:v>50</x:v>
      </x:c>
      <x:c r="C22" s="2" t="s">
        <x:v>51</x:v>
      </x:c>
      <x:c r="D22" s="9"/>
    </x:row>
    <x:row r="23" ht="38.099998474121094" customHeight="1">
      <x:c r="A23" s="2">
        <x:v>3</x:v>
      </x:c>
      <x:c r="B23" s="2" t="s">
        <x:v>52</x:v>
      </x:c>
      <x:c r="C23" s="2" t="s">
        <x:v>53</x:v>
      </x:c>
      <x:c r="D23" s="9"/>
    </x:row>
    <x:row r="24" ht="38.099998474121094" customHeight="1">
      <x:c r="A24" s="2">
        <x:v>4</x:v>
      </x:c>
      <x:c r="B24" s="2" t="s">
        <x:v>54</x:v>
      </x:c>
      <x:c r="C24" s="2" t="s">
        <x:v>55</x:v>
      </x:c>
      <x:c r="D24" s="9"/>
    </x:row>
    <x:row r="25" ht="38.099998474121094" customHeight="1">
      <x:c r="A25" s="2">
        <x:v>5</x:v>
      </x:c>
      <x:c r="B25" s="2" t="s">
        <x:v>56</x:v>
      </x:c>
      <x:c r="C25" s="2" t="s">
        <x:v>57</x:v>
      </x:c>
      <x:c r="D25" s="9"/>
    </x:row>
    <x:row r="26">
      <x:c r="A26" s="9"/>
      <x:c r="B26" s="9"/>
      <x:c r="C26" s="9"/>
      <x:c r="D26" s="9"/>
    </x:row>
    <x:row r="27">
      <x:c r="A27" s="37"/>
      <x:c r="B27" s="37"/>
      <x:c r="C27" s="37"/>
      <x:c r="D27" s="9"/>
    </x:row>
    <x:row r="28">
      <x:c r="A28" s="38"/>
      <x:c r="B28" s="38"/>
      <x:c r="C28" s="38"/>
      <x:c r="D28" s="9"/>
    </x:row>
    <x:row r="29">
      <x:c r="A29" s="38"/>
      <x:c r="B29" s="38"/>
      <x:c r="C29" s="38"/>
      <x:c r="D29" s="9"/>
    </x:row>
    <x:row r="30">
      <x:c r="A30" s="38"/>
      <x:c r="B30" s="38"/>
      <x:c r="C30" s="38"/>
      <x:c r="D30" s="9"/>
    </x:row>
  </x:sheetData>
  <x:mergeCells>
    <x:mergeCell ref="A12:D12"/>
    <x:mergeCell ref="A19:D19"/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9" customWidth="1"/>
    <x:col min="2" max="2" width="11" customWidth="1"/>
    <x:col min="3" max="3" width="8" customWidth="1"/>
    <x:col min="4" max="4" width="25" customWidth="1"/>
    <x:col min="5" max="5" width="34" customWidth="1"/>
    <x:col min="6" max="6" width="20" customWidth="1"/>
    <x:col min="7" max="7" width="38" customWidth="1"/>
    <x:col min="8" max="8" width="7" customWidth="1"/>
    <x:col min="9" max="10" width="14" customWidth="1"/>
    <x:col min="11" max="11" width="23" customWidth="1"/>
    <x:col min="12" max="12" width="22" customWidth="1"/>
    <x:col min="13" max="13" width="32" customWidth="1"/>
    <x:col min="14" max="14" width="38" customWidth="1"/>
    <x:col min="15" max="15" width="20" customWidth="1"/>
    <x:col min="16" max="16" width="48" customWidth="1"/>
  </x:cols>
  <x:sheetData>
    <x:row r="1" ht="27.950000762939453" customHeight="1">
      <x:c r="A1" s="27" t="s">
        <x:v>58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</x:row>
    <x:row r="2" ht="33.95000076293945" customHeight="1">
      <x:c r="A2" s="29" t="s">
        <x:v>59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  <x:c r="O2" s="30"/>
      <x:c r="P2" s="30"/>
    </x:row>
    <x:row r="4" ht="30" customHeight="1">
      <x:c r="A4" s="8" t="s">
        <x:v>60</x:v>
      </x:c>
      <x:c r="B4" s="8" t="s">
        <x:v>25</x:v>
      </x:c>
      <x:c r="C4" s="8" t="s">
        <x:v>61</x:v>
      </x:c>
      <x:c r="D4" s="8" t="s">
        <x:v>62</x:v>
      </x:c>
      <x:c r="E4" s="8" t="s">
        <x:v>63</x:v>
      </x:c>
      <x:c r="F4" s="8" t="s">
        <x:v>64</x:v>
      </x:c>
      <x:c r="G4" s="8" t="s">
        <x:v>65</x:v>
      </x:c>
      <x:c r="H4" s="8" t="s">
        <x:v>66</x:v>
      </x:c>
      <x:c r="I4" s="8" t="s">
        <x:v>67</x:v>
      </x:c>
      <x:c r="J4" s="8" t="s">
        <x:v>68</x:v>
      </x:c>
      <x:c r="K4" s="8" t="s">
        <x:v>69</x:v>
      </x:c>
      <x:c r="L4" s="8" t="s">
        <x:v>70</x:v>
      </x:c>
      <x:c r="M4" s="8" t="s">
        <x:v>71</x:v>
      </x:c>
      <x:c r="N4" s="8" t="s">
        <x:v>72</x:v>
      </x:c>
      <x:c r="O4" s="8" t="s">
        <x:v>73</x:v>
      </x:c>
      <x:c r="P4" s="8" t="s">
        <x:v>74</x:v>
      </x:c>
    </x:row>
    <x:row r="5" ht="44.099998474121094" customHeight="1">
      <x:c r="A5" s="10" t="s">
        <x:v>75</x:v>
      </x:c>
      <x:c r="B5" s="10" t="s">
        <x:v>76</x:v>
      </x:c>
      <x:c r="C5" s="10" t="s">
        <x:v>77</x:v>
      </x:c>
      <x:c r="D5" s="10" t="s">
        <x:v>78</x:v>
      </x:c>
      <x:c r="E5" s="10" t="s">
        <x:v>79</x:v>
      </x:c>
      <x:c r="F5" s="10" t="s">
        <x:v>80</x:v>
      </x:c>
      <x:c r="G5" s="10" t="s">
        <x:v>81</x:v>
      </x:c>
      <x:c r="H5" s="10">
        <x:v>1</x:v>
      </x:c>
      <x:c r="I5" s="72">
        <x:v>679.99</x:v>
      </x:c>
      <x:c r="J5" s="72" t="n">
        <x:f>H5*I5</x:f>
        <x:v>679.99</x:v>
      </x:c>
      <x:c r="K5" s="10" t="s">
        <x:v>82</x:v>
      </x:c>
      <x:c r="L5" s="10" t="s">
        <x:v>83</x:v>
      </x:c>
      <x:c r="M5" s="11" t="s">
        <x:v>84</x:v>
      </x:c>
      <x:c r="N5" s="11" t="s">
        <x:v>85</x:v>
      </x:c>
      <x:c r="O5" s="11" t="str">
        <x:v>4. hafta sipariş</x:v>
      </x:c>
      <x:c r="P5" s="11" t="s">
        <x:v>86</x:v>
      </x:c>
    </x:row>
    <x:row r="6" ht="44.099998474121094" customHeight="1">
      <x:c r="A6" s="10" t="s">
        <x:v>87</x:v>
      </x:c>
      <x:c r="B6" s="10" t="s">
        <x:v>76</x:v>
      </x:c>
      <x:c r="C6" s="10" t="s">
        <x:v>77</x:v>
      </x:c>
      <x:c r="D6" s="10" t="s">
        <x:v>88</x:v>
      </x:c>
      <x:c r="E6" s="10" t="s">
        <x:v>89</x:v>
      </x:c>
      <x:c r="F6" s="10" t="s">
        <x:v>90</x:v>
      </x:c>
      <x:c r="G6" s="10" t="s">
        <x:v>91</x:v>
      </x:c>
      <x:c r="H6" s="10">
        <x:v>2</x:v>
      </x:c>
      <x:c r="I6" s="72">
        <x:v>58.45</x:v>
      </x:c>
      <x:c r="J6" s="72" t="n">
        <x:f>H6*I6</x:f>
        <x:v>116.9</x:v>
      </x:c>
      <x:c r="K6" s="10" t="s">
        <x:v>92</x:v>
      </x:c>
      <x:c r="L6" s="10" t="str">
        <x:v>Farnell TR: stoktan standart teslim; sipariş ekranında teyit</x:v>
      </x:c>
      <x:c r="M6" s="11" t="s">
        <x:v>93</x:v>
      </x:c>
      <x:c r="N6" s="11" t="s">
        <x:v>94</x:v>
      </x:c>
      <x:c r="O6" s="11" t="str">
        <x:v>3. hafta seçim / 4. hafta sipariş</x:v>
      </x:c>
      <x:c r="P6" s="11" t="str">
        <x:v>20 Hz–20 kHz belirtiliyor; açık alt −3 dB verilmemiş. CMC teknik adayı MOQ nedeniyle 2 adetlik alım için pratik değil; ECM parçası 3. haftada dondurulacak.</x:v>
      </x:c>
    </x:row>
    <x:row r="7" ht="44.099998474121094" customHeight="1">
      <x:c r="A7" s="10" t="s">
        <x:v>95</x:v>
      </x:c>
      <x:c r="B7" s="10" t="s">
        <x:v>76</x:v>
      </x:c>
      <x:c r="C7" s="10" t="s">
        <x:v>77</x:v>
      </x:c>
      <x:c r="D7" s="10" t="s">
        <x:v>96</x:v>
      </x:c>
      <x:c r="E7" s="10" t="s">
        <x:v>97</x:v>
      </x:c>
      <x:c r="F7" s="10" t="s">
        <x:v>90</x:v>
      </x:c>
      <x:c r="G7" s="10" t="s">
        <x:v>98</x:v>
      </x:c>
      <x:c r="H7" s="10">
        <x:v>2</x:v>
      </x:c>
      <x:c r="I7" s="72">
        <x:v>234.9</x:v>
      </x:c>
      <x:c r="J7" s="72" t="n">
        <x:f>H7*I7</x:f>
        <x:v>469.8</x:v>
      </x:c>
      <x:c r="K7" s="10" t="s">
        <x:v>99</x:v>
      </x:c>
      <x:c r="L7" s="10" t="s">
        <x:v>100</x:v>
      </x:c>
      <x:c r="M7" s="11" t="s">
        <x:v>101</x:v>
      </x:c>
      <x:c r="N7" s="11" t="s">
        <x:v>102</x:v>
      </x:c>
      <x:c r="O7" s="11" t="str">
        <x:v>3. hafta seçim / 4. hafta sipariş</x:v>
      </x:c>
      <x:c r="P7" s="11" t="s">
        <x:v>103</x:v>
      </x:c>
    </x:row>
    <x:row r="8" ht="44.099998474121094" customHeight="1">
      <x:c r="A8" s="10" t="s">
        <x:v>104</x:v>
      </x:c>
      <x:c r="B8" s="10" t="s">
        <x:v>76</x:v>
      </x:c>
      <x:c r="C8" s="10" t="s">
        <x:v>77</x:v>
      </x:c>
      <x:c r="D8" s="10" t="s">
        <x:v>105</x:v>
      </x:c>
      <x:c r="E8" s="10" t="s">
        <x:v>106</x:v>
      </x:c>
      <x:c r="F8" s="10" t="s">
        <x:v>107</x:v>
      </x:c>
      <x:c r="G8" s="10" t="s">
        <x:v>108</x:v>
      </x:c>
      <x:c r="H8" s="10">
        <x:v>5</x:v>
      </x:c>
      <x:c r="I8" s="72">
        <x:v>58.12</x:v>
      </x:c>
      <x:c r="J8" s="72" t="n">
        <x:f>H8*I8</x:f>
        <x:v>290.59999999999997</x:v>
      </x:c>
      <x:c r="K8" s="10" t="s">
        <x:v>109</x:v>
      </x:c>
      <x:c r="L8" s="10" t="s">
        <x:v>83</x:v>
      </x:c>
      <x:c r="M8" s="11" t="s">
        <x:v>110</x:v>
      </x:c>
      <x:c r="N8" s="11" t="s">
        <x:v>111</x:v>
      </x:c>
      <x:c r="O8" s="11" t="str">
        <x:v>4. hafta sipariş</x:v>
      </x:c>
      <x:c r="P8" s="11" t="s">
        <x:v>112</x:v>
      </x:c>
    </x:row>
    <x:row r="9" ht="44.099998474121094" customHeight="1">
      <x:c r="A9" s="10" t="s">
        <x:v>113</x:v>
      </x:c>
      <x:c r="B9" s="10" t="s">
        <x:v>76</x:v>
      </x:c>
      <x:c r="C9" s="10" t="s">
        <x:v>77</x:v>
      </x:c>
      <x:c r="D9" s="10" t="s">
        <x:v>114</x:v>
      </x:c>
      <x:c r="E9" s="10" t="s">
        <x:v>115</x:v>
      </x:c>
      <x:c r="F9" s="10" t="s">
        <x:v>116</x:v>
      </x:c>
      <x:c r="G9" s="10" t="s">
        <x:v>117</x:v>
      </x:c>
      <x:c r="H9" s="10">
        <x:v>1</x:v>
      </x:c>
      <x:c r="I9" s="72">
        <x:v>1152.3800000000001</x:v>
      </x:c>
      <x:c r="J9" s="72" t="n">
        <x:f>H9*I9</x:f>
        <x:v>1152.38</x:v>
      </x:c>
      <x:c r="K9" s="10" t="s">
        <x:v>118</x:v>
      </x:c>
      <x:c r="L9" s="10" t="s">
        <x:v>83</x:v>
      </x:c>
      <x:c r="M9" s="11" t="s">
        <x:v>119</x:v>
      </x:c>
      <x:c r="N9" s="11" t="s">
        <x:v>120</x:v>
      </x:c>
      <x:c r="O9" s="11" t="str">
        <x:v>4. hafta sipariş</x:v>
      </x:c>
      <x:c r="P9" s="11" t="s">
        <x:v>121</x:v>
      </x:c>
    </x:row>
    <x:row r="10" ht="44.099998474121094" customHeight="1">
      <x:c r="A10" s="10" t="s">
        <x:v>122</x:v>
      </x:c>
      <x:c r="B10" s="10" t="s">
        <x:v>76</x:v>
      </x:c>
      <x:c r="C10" s="10" t="s">
        <x:v>77</x:v>
      </x:c>
      <x:c r="D10" s="10" t="s">
        <x:v>123</x:v>
      </x:c>
      <x:c r="E10" s="10" t="s">
        <x:v>124</x:v>
      </x:c>
      <x:c r="F10" s="10" t="s">
        <x:v>125</x:v>
      </x:c>
      <x:c r="G10" s="10" t="s">
        <x:v>126</x:v>
      </x:c>
      <x:c r="H10" s="10">
        <x:v>2</x:v>
      </x:c>
      <x:c r="I10" s="72">
        <x:v>718.06</x:v>
      </x:c>
      <x:c r="J10" s="72" t="n">
        <x:f>H10*I10</x:f>
        <x:v>1436.12</x:v>
      </x:c>
      <x:c r="K10" s="10" t="s">
        <x:v>127</x:v>
      </x:c>
      <x:c r="L10" s="10" t="s">
        <x:v>128</x:v>
      </x:c>
      <x:c r="M10" s="11" t="s">
        <x:v>129</x:v>
      </x:c>
      <x:c r="N10" s="11" t="s">
        <x:v>130</x:v>
      </x:c>
      <x:c r="O10" s="11" t="str">
        <x:v>3. hafta seçim / 4. hafta sipariş</x:v>
      </x:c>
      <x:c r="P10" s="11" t="s">
        <x:v>131</x:v>
      </x:c>
    </x:row>
    <x:row r="11" ht="44.099998474121094" customHeight="1">
      <x:c r="A11" s="10" t="s">
        <x:v>132</x:v>
      </x:c>
      <x:c r="B11" s="10" t="s">
        <x:v>76</x:v>
      </x:c>
      <x:c r="C11" s="10" t="s">
        <x:v>77</x:v>
      </x:c>
      <x:c r="D11" s="10" t="s">
        <x:v>133</x:v>
      </x:c>
      <x:c r="E11" s="10" t="s">
        <x:v>134</x:v>
      </x:c>
      <x:c r="F11" s="10" t="s">
        <x:v>135</x:v>
      </x:c>
      <x:c r="G11" s="10" t="s">
        <x:v>136</x:v>
      </x:c>
      <x:c r="H11" s="10">
        <x:v>1</x:v>
      </x:c>
      <x:c r="I11" s="72">
        <x:v>103.95</x:v>
      </x:c>
      <x:c r="J11" s="72" t="n">
        <x:f>H11*I11</x:f>
        <x:v>103.95</x:v>
      </x:c>
      <x:c r="K11" s="10" t="s">
        <x:v>137</x:v>
      </x:c>
      <x:c r="L11" s="10" t="s">
        <x:v>138</x:v>
      </x:c>
      <x:c r="M11" s="11" t="s">
        <x:v>139</x:v>
      </x:c>
      <x:c r="N11" s="11" t="s">
        <x:v>140</x:v>
      </x:c>
      <x:c r="O11" s="11" t="str">
        <x:v>3. hafta seçim / 4. hafta sipariş</x:v>
      </x:c>
      <x:c r="P11" s="11" t="s">
        <x:v>141</x:v>
      </x:c>
    </x:row>
    <x:row r="12" ht="44.099998474121094" customHeight="1">
      <x:c r="A12" s="10" t="s">
        <x:v>142</x:v>
      </x:c>
      <x:c r="B12" s="10" t="s">
        <x:v>76</x:v>
      </x:c>
      <x:c r="C12" s="10" t="s">
        <x:v>77</x:v>
      </x:c>
      <x:c r="D12" s="10" t="s">
        <x:v>143</x:v>
      </x:c>
      <x:c r="E12" s="10" t="s">
        <x:v>144</x:v>
      </x:c>
      <x:c r="F12" s="10" t="s">
        <x:v>116</x:v>
      </x:c>
      <x:c r="G12" s="10" t="s">
        <x:v>145</x:v>
      </x:c>
      <x:c r="H12" s="10">
        <x:v>1</x:v>
      </x:c>
      <x:c r="I12" s="72">
        <x:v>20.079999999999998</x:v>
      </x:c>
      <x:c r="J12" s="72" t="n">
        <x:f>H12*I12</x:f>
        <x:v>20.08</x:v>
      </x:c>
      <x:c r="K12" s="10" t="s">
        <x:v>109</x:v>
      </x:c>
      <x:c r="L12" s="10" t="s">
        <x:v>138</x:v>
      </x:c>
      <x:c r="M12" s="11" t="s">
        <x:v>146</x:v>
      </x:c>
      <x:c r="N12" s="11" t="s">
        <x:v>145</x:v>
      </x:c>
      <x:c r="O12" s="11" t="str">
        <x:v>4. hafta sipariş</x:v>
      </x:c>
      <x:c r="P12" s="11" t="s">
        <x:v>147</x:v>
      </x:c>
    </x:row>
    <x:row r="13" ht="44.099998474121094" customHeight="1">
      <x:c r="A13" s="10" t="s">
        <x:v>148</x:v>
      </x:c>
      <x:c r="B13" s="10" t="s">
        <x:v>76</x:v>
      </x:c>
      <x:c r="C13" s="10" t="s">
        <x:v>77</x:v>
      </x:c>
      <x:c r="D13" s="10" t="s">
        <x:v>149</x:v>
      </x:c>
      <x:c r="E13" s="10" t="s">
        <x:v>150</x:v>
      </x:c>
      <x:c r="F13" s="10" t="s">
        <x:v>151</x:v>
      </x:c>
      <x:c r="G13" s="10" t="s">
        <x:v>152</x:v>
      </x:c>
      <x:c r="H13" s="10">
        <x:v>1</x:v>
      </x:c>
      <x:c r="I13" s="72">
        <x:v>1173</x:v>
      </x:c>
      <x:c r="J13" s="72" t="n">
        <x:f>H13*I13</x:f>
        <x:v>1173</x:v>
      </x:c>
      <x:c r="K13" s="10" t="s">
        <x:v>153</x:v>
      </x:c>
      <x:c r="L13" s="10" t="s">
        <x:v>154</x:v>
      </x:c>
      <x:c r="M13" s="11" t="s">
        <x:v>155</x:v>
      </x:c>
      <x:c r="N13" s="11" t="s">
        <x:v>156</x:v>
      </x:c>
      <x:c r="O13" s="11" t="str">
        <x:v>3. hafta mekanik inceleme / 4. hafta sipariş</x:v>
      </x:c>
      <x:c r="P13" s="11" t="s">
        <x:v>157</x:v>
      </x:c>
    </x:row>
    <x:row r="14" ht="44.099998474121094" customHeight="1">
      <x:c r="A14" s="10" t="s">
        <x:v>158</x:v>
      </x:c>
      <x:c r="B14" s="10" t="s">
        <x:v>76</x:v>
      </x:c>
      <x:c r="C14" s="10" t="s">
        <x:v>77</x:v>
      </x:c>
      <x:c r="D14" s="10" t="s">
        <x:v>159</x:v>
      </x:c>
      <x:c r="E14" s="10" t="s">
        <x:v>160</x:v>
      </x:c>
      <x:c r="F14" s="10" t="s">
        <x:v>161</x:v>
      </x:c>
      <x:c r="G14" s="10" t="s">
        <x:v>162</x:v>
      </x:c>
      <x:c r="H14" s="10">
        <x:v>1</x:v>
      </x:c>
      <x:c r="I14" s="72">
        <x:v>349</x:v>
      </x:c>
      <x:c r="J14" s="72" t="n">
        <x:f>H14*I14</x:f>
        <x:v>349</x:v>
      </x:c>
      <x:c r="K14" s="10" t="s">
        <x:v>163</x:v>
      </x:c>
      <x:c r="L14" s="10" t="s">
        <x:v>164</x:v>
      </x:c>
      <x:c r="M14" s="11" t="s">
        <x:v>165</x:v>
      </x:c>
      <x:c r="N14" s="11" t="s">
        <x:v>166</x:v>
      </x:c>
      <x:c r="O14" s="11" t="str">
        <x:v>3. hafta mekanik plan / 4. hafta sipariş</x:v>
      </x:c>
      <x:c r="P14" s="11" t="str">
        <x:v>Rijit fikstür gereklidir; ölçüler fantom/chestpiece geometrisine göre 3. haftada kesinleşecek.</x:v>
      </x:c>
    </x:row>
    <x:row r="15" ht="44.099998474121094" customHeight="1">
      <x:c r="A15" s="10" t="s">
        <x:v>167</x:v>
      </x:c>
      <x:c r="B15" s="10" t="s">
        <x:v>76</x:v>
      </x:c>
      <x:c r="C15" s="10" t="s">
        <x:v>77</x:v>
      </x:c>
      <x:c r="D15" s="10" t="s">
        <x:v>168</x:v>
      </x:c>
      <x:c r="E15" s="10" t="s">
        <x:v>169</x:v>
      </x:c>
      <x:c r="F15" s="10" t="s">
        <x:v>116</x:v>
      </x:c>
      <x:c r="G15" s="10" t="s">
        <x:v>170</x:v>
      </x:c>
      <x:c r="H15" s="10">
        <x:v>1</x:v>
      </x:c>
      <x:c r="I15" s="72">
        <x:v>149.91</x:v>
      </x:c>
      <x:c r="J15" s="72" t="n">
        <x:f>H15*I15</x:f>
        <x:v>149.91</x:v>
      </x:c>
      <x:c r="K15" s="10" t="s">
        <x:v>171</x:v>
      </x:c>
      <x:c r="L15" s="10" t="s">
        <x:v>172</x:v>
      </x:c>
      <x:c r="M15" s="11" t="s">
        <x:v>173</x:v>
      </x:c>
      <x:c r="N15" s="11" t="s">
        <x:v>174</x:v>
      </x:c>
      <x:c r="O15" s="11" t="str">
        <x:v>4. hafta sipariş</x:v>
      </x:c>
      <x:c r="P15" s="11" t="s">
        <x:v>175</x:v>
      </x:c>
    </x:row>
    <x:row r="16" ht="44.099998474121094" customHeight="1">
      <x:c r="A16" s="10" t="s">
        <x:v>176</x:v>
      </x:c>
      <x:c r="B16" s="10" t="s">
        <x:v>76</x:v>
      </x:c>
      <x:c r="C16" s="10" t="s">
        <x:v>77</x:v>
      </x:c>
      <x:c r="D16" s="10" t="s">
        <x:v>177</x:v>
      </x:c>
      <x:c r="E16" s="10" t="s">
        <x:v>178</x:v>
      </x:c>
      <x:c r="F16" s="10" t="s">
        <x:v>179</x:v>
      </x:c>
      <x:c r="G16" s="10" t="s">
        <x:v>180</x:v>
      </x:c>
      <x:c r="H16" s="10">
        <x:v>1</x:v>
      </x:c>
      <x:c r="I16" s="72">
        <x:v>287.93</x:v>
      </x:c>
      <x:c r="J16" s="72" t="n">
        <x:f>H16*I16</x:f>
        <x:v>287.93</x:v>
      </x:c>
      <x:c r="K16" s="10" t="s">
        <x:v>181</x:v>
      </x:c>
      <x:c r="L16" s="10" t="s">
        <x:v>182</x:v>
      </x:c>
      <x:c r="M16" s="11" t="s">
        <x:v>183</x:v>
      </x:c>
      <x:c r="N16" s="11" t="s">
        <x:v>184</x:v>
      </x:c>
      <x:c r="O16" s="11" t="str">
        <x:v>4. hafta sipariş</x:v>
      </x:c>
      <x:c r="P16" s="11" t="s">
        <x:v>185</x:v>
      </x:c>
    </x:row>
    <x:row r="17" ht="44.099998474121094" customHeight="1">
      <x:c r="A17" s="12" t="s">
        <x:v>186</x:v>
      </x:c>
      <x:c r="B17" s="12" t="s">
        <x:v>187</x:v>
      </x:c>
      <x:c r="C17" s="12" t="s">
        <x:v>188</x:v>
      </x:c>
      <x:c r="D17" s="12" t="s">
        <x:v>189</x:v>
      </x:c>
      <x:c r="E17" s="12" t="s">
        <x:v>190</x:v>
      </x:c>
      <x:c r="F17" s="12" t="s">
        <x:v>191</x:v>
      </x:c>
      <x:c r="G17" s="12"/>
      <x:c r="H17" s="12">
        <x:v>3</x:v>
      </x:c>
      <x:c r="I17" s="73"/>
      <x:c r="J17" s="73"/>
      <x:c r="K17" s="12" t="s">
        <x:v>192</x:v>
      </x:c>
      <x:c r="L17" s="12" t="s">
        <x:v>34</x:v>
      </x:c>
      <x:c r="M17" s="13" t="s">
        <x:v>193</x:v>
      </x:c>
      <x:c r="N17" s="13"/>
      <x:c r="O17" s="13" t="s">
        <x:v>34</x:v>
      </x:c>
      <x:c r="P17" s="13" t="s">
        <x:v>194</x:v>
      </x:c>
    </x:row>
    <x:row r="18" ht="44.099998474121094" customHeight="1">
      <x:c r="A18" s="12" t="s">
        <x:v>195</x:v>
      </x:c>
      <x:c r="B18" s="12" t="s">
        <x:v>187</x:v>
      </x:c>
      <x:c r="C18" s="12" t="s">
        <x:v>188</x:v>
      </x:c>
      <x:c r="D18" s="12" t="s">
        <x:v>196</x:v>
      </x:c>
      <x:c r="E18" s="12" t="s">
        <x:v>197</x:v>
      </x:c>
      <x:c r="F18" s="12" t="s">
        <x:v>191</x:v>
      </x:c>
      <x:c r="G18" s="12"/>
      <x:c r="H18" s="12">
        <x:v>1</x:v>
      </x:c>
      <x:c r="I18" s="73"/>
      <x:c r="J18" s="73"/>
      <x:c r="K18" s="12" t="s">
        <x:v>192</x:v>
      </x:c>
      <x:c r="L18" s="12" t="s">
        <x:v>34</x:v>
      </x:c>
      <x:c r="M18" s="13" t="s">
        <x:v>193</x:v>
      </x:c>
      <x:c r="N18" s="13"/>
      <x:c r="O18" s="13" t="s">
        <x:v>34</x:v>
      </x:c>
      <x:c r="P18" s="13" t="s">
        <x:v>198</x:v>
      </x:c>
    </x:row>
    <x:row r="19" ht="44.099998474121094" customHeight="1">
      <x:c r="A19" s="12" t="s">
        <x:v>199</x:v>
      </x:c>
      <x:c r="B19" s="12" t="s">
        <x:v>187</x:v>
      </x:c>
      <x:c r="C19" s="12" t="s">
        <x:v>188</x:v>
      </x:c>
      <x:c r="D19" s="12" t="s">
        <x:v>200</x:v>
      </x:c>
      <x:c r="E19" s="12" t="s">
        <x:v>201</x:v>
      </x:c>
      <x:c r="F19" s="12" t="s">
        <x:v>191</x:v>
      </x:c>
      <x:c r="G19" s="12"/>
      <x:c r="H19" s="12">
        <x:v>3</x:v>
      </x:c>
      <x:c r="I19" s="73"/>
      <x:c r="J19" s="73"/>
      <x:c r="K19" s="12" t="s">
        <x:v>192</x:v>
      </x:c>
      <x:c r="L19" s="12" t="s">
        <x:v>34</x:v>
      </x:c>
      <x:c r="M19" s="13" t="s">
        <x:v>193</x:v>
      </x:c>
      <x:c r="N19" s="13"/>
      <x:c r="O19" s="13" t="s">
        <x:v>34</x:v>
      </x:c>
      <x:c r="P19" s="13" t="s">
        <x:v>202</x:v>
      </x:c>
    </x:row>
    <x:row r="20" ht="44.099998474121094" customHeight="1">
      <x:c r="A20" s="12" t="s">
        <x:v>203</x:v>
      </x:c>
      <x:c r="B20" s="12" t="s">
        <x:v>187</x:v>
      </x:c>
      <x:c r="C20" s="12" t="s">
        <x:v>188</x:v>
      </x:c>
      <x:c r="D20" s="12" t="s">
        <x:v>204</x:v>
      </x:c>
      <x:c r="E20" s="12" t="s">
        <x:v>205</x:v>
      </x:c>
      <x:c r="F20" s="12" t="s">
        <x:v>193</x:v>
      </x:c>
      <x:c r="G20" s="12"/>
      <x:c r="H20" s="12">
        <x:v>1</x:v>
      </x:c>
      <x:c r="I20" s="73"/>
      <x:c r="J20" s="73"/>
      <x:c r="K20" s="12" t="s">
        <x:v>206</x:v>
      </x:c>
      <x:c r="L20" s="12" t="s">
        <x:v>207</x:v>
      </x:c>
      <x:c r="M20" s="13" t="s">
        <x:v>193</x:v>
      </x:c>
      <x:c r="N20" s="13"/>
      <x:c r="O20" s="13" t="s">
        <x:v>208</x:v>
      </x:c>
      <x:c r="P20" s="13" t="s">
        <x:v>209</x:v>
      </x:c>
    </x:row>
    <x:row r="21" ht="44.099998474121094" customHeight="1">
      <x:c r="A21" s="12" t="s">
        <x:v>210</x:v>
      </x:c>
      <x:c r="B21" s="12" t="s">
        <x:v>187</x:v>
      </x:c>
      <x:c r="C21" s="12" t="s">
        <x:v>188</x:v>
      </x:c>
      <x:c r="D21" s="12" t="s">
        <x:v>211</x:v>
      </x:c>
      <x:c r="E21" s="12" t="s">
        <x:v>212</x:v>
      </x:c>
      <x:c r="F21" s="12" t="s">
        <x:v>193</x:v>
      </x:c>
      <x:c r="G21" s="12"/>
      <x:c r="H21" s="12"/>
      <x:c r="I21" s="73"/>
      <x:c r="J21" s="73"/>
      <x:c r="K21" s="12" t="s">
        <x:v>206</x:v>
      </x:c>
      <x:c r="L21" s="12" t="s">
        <x:v>213</x:v>
      </x:c>
      <x:c r="M21" s="13" t="s">
        <x:v>193</x:v>
      </x:c>
      <x:c r="N21" s="13"/>
      <x:c r="O21" s="13" t="s">
        <x:v>214</x:v>
      </x:c>
      <x:c r="P21" s="13" t="s">
        <x:v>215</x:v>
      </x:c>
    </x:row>
    <x:row r="22" ht="44.099998474121094" customHeight="1">
      <x:c r="A22" s="14" t="s">
        <x:v>216</x:v>
      </x:c>
      <x:c r="B22" s="14" t="s">
        <x:v>217</x:v>
      </x:c>
      <x:c r="C22" s="14" t="s">
        <x:v>218</x:v>
      </x:c>
      <x:c r="D22" s="14" t="s">
        <x:v>219</x:v>
      </x:c>
      <x:c r="E22" s="14" t="s">
        <x:v>220</x:v>
      </x:c>
      <x:c r="F22" s="14" t="s">
        <x:v>221</x:v>
      </x:c>
      <x:c r="G22" s="14"/>
      <x:c r="H22" s="14"/>
      <x:c r="I22" s="74"/>
      <x:c r="J22" s="74"/>
      <x:c r="K22" s="14" t="s">
        <x:v>222</x:v>
      </x:c>
      <x:c r="L22" s="14" t="s">
        <x:v>223</x:v>
      </x:c>
      <x:c r="M22" s="15" t="s">
        <x:v>193</x:v>
      </x:c>
      <x:c r="N22" s="15"/>
      <x:c r="O22" s="15" t="s">
        <x:v>224</x:v>
      </x:c>
      <x:c r="P22" s="15" t="s">
        <x:v>225</x:v>
      </x:c>
    </x:row>
    <x:row r="23" ht="44.099998474121094" customHeight="1">
      <x:c r="A23" s="14" t="s">
        <x:v>226</x:v>
      </x:c>
      <x:c r="B23" s="14" t="s">
        <x:v>217</x:v>
      </x:c>
      <x:c r="C23" s="14" t="s">
        <x:v>218</x:v>
      </x:c>
      <x:c r="D23" s="14" t="s">
        <x:v>227</x:v>
      </x:c>
      <x:c r="E23" s="14" t="s">
        <x:v>220</x:v>
      </x:c>
      <x:c r="F23" s="14" t="s">
        <x:v>221</x:v>
      </x:c>
      <x:c r="G23" s="14"/>
      <x:c r="H23" s="14"/>
      <x:c r="I23" s="74"/>
      <x:c r="J23" s="74"/>
      <x:c r="K23" s="14" t="s">
        <x:v>222</x:v>
      </x:c>
      <x:c r="L23" s="14" t="s">
        <x:v>223</x:v>
      </x:c>
      <x:c r="M23" s="15" t="s">
        <x:v>193</x:v>
      </x:c>
      <x:c r="N23" s="15"/>
      <x:c r="O23" s="15" t="s">
        <x:v>224</x:v>
      </x:c>
      <x:c r="P23" s="15" t="s">
        <x:v>228</x:v>
      </x:c>
    </x:row>
    <x:row r="24" ht="44.099998474121094" customHeight="1">
      <x:c r="A24" s="14" t="s">
        <x:v>229</x:v>
      </x:c>
      <x:c r="B24" s="14" t="s">
        <x:v>217</x:v>
      </x:c>
      <x:c r="C24" s="14" t="s">
        <x:v>218</x:v>
      </x:c>
      <x:c r="D24" s="14" t="s">
        <x:v>230</x:v>
      </x:c>
      <x:c r="E24" s="14" t="s">
        <x:v>220</x:v>
      </x:c>
      <x:c r="F24" s="14" t="s">
        <x:v>221</x:v>
      </x:c>
      <x:c r="G24" s="14"/>
      <x:c r="H24" s="14"/>
      <x:c r="I24" s="74"/>
      <x:c r="J24" s="74"/>
      <x:c r="K24" s="14" t="s">
        <x:v>222</x:v>
      </x:c>
      <x:c r="L24" s="14" t="s">
        <x:v>223</x:v>
      </x:c>
      <x:c r="M24" s="15" t="s">
        <x:v>193</x:v>
      </x:c>
      <x:c r="N24" s="15"/>
      <x:c r="O24" s="15" t="s">
        <x:v>224</x:v>
      </x:c>
      <x:c r="P24" s="15" t="s">
        <x:v>228</x:v>
      </x:c>
    </x:row>
    <x:row r="25" ht="44.099998474121094" customHeight="1">
      <x:c r="A25" s="14" t="s">
        <x:v>231</x:v>
      </x:c>
      <x:c r="B25" s="14" t="s">
        <x:v>217</x:v>
      </x:c>
      <x:c r="C25" s="14" t="s">
        <x:v>218</x:v>
      </x:c>
      <x:c r="D25" s="14" t="s">
        <x:v>232</x:v>
      </x:c>
      <x:c r="E25" s="14" t="s">
        <x:v>220</x:v>
      </x:c>
      <x:c r="F25" s="14" t="s">
        <x:v>221</x:v>
      </x:c>
      <x:c r="G25" s="14"/>
      <x:c r="H25" s="14"/>
      <x:c r="I25" s="74"/>
      <x:c r="J25" s="74"/>
      <x:c r="K25" s="14" t="s">
        <x:v>222</x:v>
      </x:c>
      <x:c r="L25" s="14" t="s">
        <x:v>233</x:v>
      </x:c>
      <x:c r="M25" s="15" t="s">
        <x:v>193</x:v>
      </x:c>
      <x:c r="N25" s="15"/>
      <x:c r="O25" s="15" t="s">
        <x:v>234</x:v>
      </x:c>
      <x:c r="P25" s="15" t="s">
        <x:v>228</x:v>
      </x:c>
    </x:row>
    <x:row r="26" ht="44.099998474121094" customHeight="1">
      <x:c r="A26" s="14" t="s">
        <x:v>235</x:v>
      </x:c>
      <x:c r="B26" s="14" t="s">
        <x:v>217</x:v>
      </x:c>
      <x:c r="C26" s="14" t="s">
        <x:v>218</x:v>
      </x:c>
      <x:c r="D26" s="14" t="s">
        <x:v>236</x:v>
      </x:c>
      <x:c r="E26" s="14" t="s">
        <x:v>220</x:v>
      </x:c>
      <x:c r="F26" s="14" t="s">
        <x:v>221</x:v>
      </x:c>
      <x:c r="G26" s="14"/>
      <x:c r="H26" s="14"/>
      <x:c r="I26" s="74"/>
      <x:c r="J26" s="74"/>
      <x:c r="K26" s="14" t="s">
        <x:v>222</x:v>
      </x:c>
      <x:c r="L26" s="14" t="s">
        <x:v>237</x:v>
      </x:c>
      <x:c r="M26" s="15" t="s">
        <x:v>193</x:v>
      </x:c>
      <x:c r="N26" s="15"/>
      <x:c r="O26" s="15" t="s">
        <x:v>224</x:v>
      </x:c>
      <x:c r="P26" s="15" t="str">
        <x:v>Yararlı ancak zorunlu değildir; mevcut değilse ADC/referans yolu yeniden tanımlanır.</x:v>
      </x:c>
    </x:row>
    <x:row r="27" ht="44.099998474121094" customHeight="1">
      <x:c r="A27" s="6"/>
      <x:c r="B27" s="6"/>
      <x:c r="C27" s="6"/>
      <x:c r="D27" s="6"/>
      <x:c r="E27" s="6"/>
      <x:c r="F27" s="6"/>
      <x:c r="G27" s="6"/>
      <x:c r="H27" s="6"/>
      <x:c r="I27" s="74"/>
      <x:c r="J27" s="74"/>
      <x:c r="K27" s="6"/>
      <x:c r="L27" s="6"/>
    </x:row>
    <x:row r="28">
      <x:c r="A28" t="s">
        <x:v>238</x:v>
      </x:c>
      <x:c r="I28" s="75"/>
      <x:c r="J28" s="75" t="n">
        <x:f>SUM(J5:J16)</x:f>
        <x:v>6229.66</x:v>
      </x:c>
    </x:row>
    <x:row r="29" ht="33.95000076293945" customHeight="1">
      <x:c r="A29" s="25" t="s">
        <x:v>239</x:v>
      </x:c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</x:row>
    <x:row r="30" ht="33.95000076293945" customHeight="1">
      <x:c r="A30" s="26" t="s">
        <x:v>240</x:v>
      </x:c>
      <x:c r="B30" s="26" t="str">
        <x:v>CMC-6036-40T teknik aday Farnell'de MOQ 500 olduğu için satın alma için birincil aday yapılmadı; KECG2740PBJ uygulanabilir ECM satın alma adayı olarak eklendi.</x:v>
      </x:c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</x:row>
  </x:sheetData>
  <x:mergeCells>
    <x:mergeCell ref="A29:L29"/>
    <x:mergeCell ref="A30:L30"/>
    <x:mergeCell ref="A1:P1"/>
    <x:mergeCell ref="A2:P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10" customWidth="1"/>
    <x:col min="2" max="2" width="23" customWidth="1"/>
    <x:col min="3" max="3" width="20" customWidth="1"/>
    <x:col min="4" max="4" width="26" customWidth="1"/>
    <x:col min="5" max="5" width="28" customWidth="1"/>
    <x:col min="6" max="6" width="13" customWidth="1"/>
    <x:col min="7" max="7" width="15" customWidth="1"/>
    <x:col min="8" max="8" width="18" customWidth="1"/>
    <x:col min="9" max="9" width="26" customWidth="1"/>
    <x:col min="10" max="10" width="48" customWidth="1"/>
    <x:col min="11" max="11" width="36" customWidth="1"/>
  </x:cols>
  <x:sheetData>
    <x:row r="1" ht="27.950000762939453" customHeight="1">
      <x:c r="A1" s="27" t="s">
        <x:v>241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</x:row>
    <x:row r="2" ht="33.95000076293945" customHeight="1">
      <x:c r="A2" s="29" t="s">
        <x:v>242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</x:row>
    <x:row r="4" ht="30" customHeight="1">
      <x:c r="A4" s="8" t="s">
        <x:v>243</x:v>
      </x:c>
      <x:c r="B4" s="8" t="s">
        <x:v>244</x:v>
      </x:c>
      <x:c r="C4" s="8" t="s">
        <x:v>245</x:v>
      </x:c>
      <x:c r="D4" s="8" t="s">
        <x:v>246</x:v>
      </x:c>
      <x:c r="E4" s="8" t="s">
        <x:v>247</x:v>
      </x:c>
      <x:c r="F4" s="8" t="s">
        <x:v>248</x:v>
      </x:c>
      <x:c r="G4" s="8" t="s">
        <x:v>249</x:v>
      </x:c>
      <x:c r="H4" s="8" t="s">
        <x:v>250</x:v>
      </x:c>
      <x:c r="I4" s="8" t="s">
        <x:v>251</x:v>
      </x:c>
      <x:c r="J4" s="8" t="s">
        <x:v>252</x:v>
      </x:c>
      <x:c r="K4" s="8" t="s">
        <x:v>253</x:v>
      </x:c>
    </x:row>
    <x:row r="5" ht="42" customHeight="1">
      <x:c r="A5" s="2" t="s">
        <x:v>254</x:v>
      </x:c>
      <x:c r="B5" s="2" t="s">
        <x:v>255</x:v>
      </x:c>
      <x:c r="C5" s="2" t="s">
        <x:v>256</x:v>
      </x:c>
      <x:c r="D5" s="2" t="s">
        <x:v>257</x:v>
      </x:c>
      <x:c r="E5" s="2" t="s">
        <x:v>258</x:v>
      </x:c>
      <x:c r="F5" s="2">
        <x:v>2</x:v>
      </x:c>
      <x:c r="G5" s="2">
        <x:v>1</x:v>
      </x:c>
      <x:c r="H5" s="2" t="s">
        <x:v>259</x:v>
      </x:c>
      <x:c r="I5" s="3" t="s">
        <x:v>260</x:v>
      </x:c>
      <x:c r="J5" s="2" t="s">
        <x:v>261</x:v>
      </x:c>
      <x:c r="K5" s="2" t="s">
        <x:v>262</x:v>
      </x:c>
    </x:row>
    <x:row r="6" ht="42" customHeight="1">
      <x:c r="A6" s="2" t="s">
        <x:v>263</x:v>
      </x:c>
      <x:c r="B6" s="2" t="s">
        <x:v>264</x:v>
      </x:c>
      <x:c r="C6" s="2" t="s">
        <x:v>265</x:v>
      </x:c>
      <x:c r="D6" s="2" t="s">
        <x:v>266</x:v>
      </x:c>
      <x:c r="E6" s="2" t="s">
        <x:v>267</x:v>
      </x:c>
      <x:c r="F6" s="2">
        <x:v>2</x:v>
      </x:c>
      <x:c r="G6" s="2">
        <x:v>1</x:v>
      </x:c>
      <x:c r="H6" s="2" t="s">
        <x:v>259</x:v>
      </x:c>
      <x:c r="I6" s="5" t="s">
        <x:v>268</x:v>
      </x:c>
      <x:c r="J6" s="2" t="s">
        <x:v>269</x:v>
      </x:c>
      <x:c r="K6" s="2" t="s">
        <x:v>91</x:v>
      </x:c>
    </x:row>
    <x:row r="7" ht="42" customHeight="1">
      <x:c r="A7" s="2" t="s">
        <x:v>270</x:v>
      </x:c>
      <x:c r="B7" s="2" t="s">
        <x:v>271</x:v>
      </x:c>
      <x:c r="C7" s="2" t="s">
        <x:v>272</x:v>
      </x:c>
      <x:c r="D7" s="2" t="s">
        <x:v>273</x:v>
      </x:c>
      <x:c r="E7" s="2" t="s">
        <x:v>274</x:v>
      </x:c>
      <x:c r="F7" s="2">
        <x:v>2</x:v>
      </x:c>
      <x:c r="G7" s="2">
        <x:v>1</x:v>
      </x:c>
      <x:c r="H7" s="2" t="s">
        <x:v>259</x:v>
      </x:c>
      <x:c r="I7" s="5" t="s">
        <x:v>275</x:v>
      </x:c>
      <x:c r="J7" s="2" t="s">
        <x:v>276</x:v>
      </x:c>
      <x:c r="K7" s="2" t="s">
        <x:v>102</x:v>
      </x:c>
    </x:row>
    <x:row r="8" ht="42" customHeight="1">
      <x:c r="A8" s="2" t="s">
        <x:v>277</x:v>
      </x:c>
      <x:c r="B8" s="2" t="s">
        <x:v>278</x:v>
      </x:c>
      <x:c r="C8" s="2" t="s">
        <x:v>279</x:v>
      </x:c>
      <x:c r="D8" s="2" t="s">
        <x:v>259</x:v>
      </x:c>
      <x:c r="E8" s="2" t="s">
        <x:v>105</x:v>
      </x:c>
      <x:c r="F8" s="2">
        <x:v>5</x:v>
      </x:c>
      <x:c r="G8" s="2">
        <x:v>1</x:v>
      </x:c>
      <x:c r="H8" s="2" t="s">
        <x:v>259</x:v>
      </x:c>
      <x:c r="I8" s="5" t="s">
        <x:v>280</x:v>
      </x:c>
      <x:c r="J8" s="2" t="s">
        <x:v>281</x:v>
      </x:c>
      <x:c r="K8" s="2" t="s">
        <x:v>282</x:v>
      </x:c>
    </x:row>
    <x:row r="9" ht="42" customHeight="1">
      <x:c r="A9" s="2" t="s">
        <x:v>283</x:v>
      </x:c>
      <x:c r="B9" s="2" t="s">
        <x:v>284</x:v>
      </x:c>
      <x:c r="C9" s="2" t="s">
        <x:v>279</x:v>
      </x:c>
      <x:c r="D9" s="2" t="s">
        <x:v>285</x:v>
      </x:c>
      <x:c r="E9" s="2" t="s">
        <x:v>286</x:v>
      </x:c>
      <x:c r="F9" s="2">
        <x:v>1</x:v>
      </x:c>
      <x:c r="G9" s="2">
        <x:v>1</x:v>
      </x:c>
      <x:c r="H9" s="2" t="s">
        <x:v>259</x:v>
      </x:c>
      <x:c r="I9" s="3" t="s">
        <x:v>287</x:v>
      </x:c>
      <x:c r="J9" s="2" t="s">
        <x:v>288</x:v>
      </x:c>
      <x:c r="K9" s="2" t="s">
        <x:v>282</x:v>
      </x:c>
    </x:row>
    <x:row r="10" ht="42" customHeight="1">
      <x:c r="A10" s="2" t="s">
        <x:v>289</x:v>
      </x:c>
      <x:c r="B10" s="2" t="s">
        <x:v>290</x:v>
      </x:c>
      <x:c r="C10" s="2" t="s">
        <x:v>291</x:v>
      </x:c>
      <x:c r="D10" s="2" t="s">
        <x:v>292</x:v>
      </x:c>
      <x:c r="E10" s="2" t="s">
        <x:v>293</x:v>
      </x:c>
      <x:c r="F10" s="2">
        <x:v>1</x:v>
      </x:c>
      <x:c r="G10" s="2">
        <x:v>1</x:v>
      </x:c>
      <x:c r="H10" s="2" t="s">
        <x:v>259</x:v>
      </x:c>
      <x:c r="I10" s="3" t="s">
        <x:v>294</x:v>
      </x:c>
      <x:c r="J10" s="2" t="s">
        <x:v>295</x:v>
      </x:c>
      <x:c r="K10" s="2" t="s">
        <x:v>296</x:v>
      </x:c>
    </x:row>
    <x:row r="11" ht="42" customHeight="1">
      <x:c r="A11" s="2" t="s">
        <x:v>297</x:v>
      </x:c>
      <x:c r="B11" s="2" t="s">
        <x:v>298</x:v>
      </x:c>
      <x:c r="C11" s="2" t="s">
        <x:v>291</x:v>
      </x:c>
      <x:c r="D11" s="2" t="s">
        <x:v>299</x:v>
      </x:c>
      <x:c r="E11" s="2" t="s">
        <x:v>300</x:v>
      </x:c>
      <x:c r="F11" s="2">
        <x:v>2</x:v>
      </x:c>
      <x:c r="G11" s="2">
        <x:v>1</x:v>
      </x:c>
      <x:c r="H11" s="2">
        <x:v>1</x:v>
      </x:c>
      <x:c r="I11" s="3" t="s">
        <x:v>294</x:v>
      </x:c>
      <x:c r="J11" s="2" t="s">
        <x:v>301</x:v>
      </x:c>
      <x:c r="K11" s="2" t="s">
        <x:v>302</x:v>
      </x:c>
    </x:row>
    <x:row r="12" ht="42" customHeight="1">
      <x:c r="A12" s="2" t="s">
        <x:v>303</x:v>
      </x:c>
      <x:c r="B12" s="2" t="s">
        <x:v>304</x:v>
      </x:c>
      <x:c r="C12" s="2" t="s">
        <x:v>279</x:v>
      </x:c>
      <x:c r="D12" s="2" t="s">
        <x:v>259</x:v>
      </x:c>
      <x:c r="E12" s="2" t="s">
        <x:v>305</x:v>
      </x:c>
      <x:c r="F12" s="2">
        <x:v>3</x:v>
      </x:c>
      <x:c r="G12" s="2">
        <x:v>1</x:v>
      </x:c>
      <x:c r="H12" s="2" t="s">
        <x:v>259</x:v>
      </x:c>
      <x:c r="I12" s="4" t="s">
        <x:v>294</x:v>
      </x:c>
      <x:c r="J12" s="2" t="s">
        <x:v>306</x:v>
      </x:c>
      <x:c r="K12" s="2" t="s">
        <x:v>282</x:v>
      </x:c>
    </x:row>
    <x:row r="13" ht="42" customHeight="1">
      <x:c r="A13" s="2" t="s">
        <x:v>307</x:v>
      </x:c>
      <x:c r="B13" s="2" t="s">
        <x:v>308</x:v>
      </x:c>
      <x:c r="C13" s="2" t="s">
        <x:v>309</x:v>
      </x:c>
      <x:c r="D13" s="2" t="s">
        <x:v>310</x:v>
      </x:c>
      <x:c r="E13" s="2" t="s">
        <x:v>311</x:v>
      </x:c>
      <x:c r="F13" s="2">
        <x:v>2</x:v>
      </x:c>
      <x:c r="G13" s="2">
        <x:v>1</x:v>
      </x:c>
      <x:c r="H13" s="2">
        <x:v>1</x:v>
      </x:c>
      <x:c r="I13" s="3" t="s">
        <x:v>312</x:v>
      </x:c>
      <x:c r="J13" s="2" t="s">
        <x:v>313</x:v>
      </x:c>
      <x:c r="K13" s="2" t="s">
        <x:v>314</x:v>
      </x:c>
    </x:row>
    <x:row r="14" ht="42" customHeight="1">
      <x:c r="A14" s="2" t="s">
        <x:v>315</x:v>
      </x:c>
      <x:c r="B14" s="2" t="s">
        <x:v>316</x:v>
      </x:c>
      <x:c r="C14" s="2" t="s">
        <x:v>317</x:v>
      </x:c>
      <x:c r="D14" s="2" t="s">
        <x:v>318</x:v>
      </x:c>
      <x:c r="E14" s="2" t="s">
        <x:v>319</x:v>
      </x:c>
      <x:c r="F14" s="2">
        <x:v>2</x:v>
      </x:c>
      <x:c r="G14" s="2">
        <x:v>1</x:v>
      </x:c>
      <x:c r="H14" s="2">
        <x:v>1</x:v>
      </x:c>
      <x:c r="I14" s="3" t="s">
        <x:v>312</x:v>
      </x:c>
      <x:c r="J14" s="2" t="s">
        <x:v>320</x:v>
      </x:c>
      <x:c r="K14" s="2" t="s">
        <x:v>321</x:v>
      </x:c>
    </x:row>
    <x:row r="15" ht="42" customHeight="1">
      <x:c r="A15" s="2" t="s">
        <x:v>322</x:v>
      </x:c>
      <x:c r="B15" s="2" t="s">
        <x:v>323</x:v>
      </x:c>
      <x:c r="C15" s="2" t="s">
        <x:v>324</x:v>
      </x:c>
      <x:c r="D15" s="2" t="s">
        <x:v>325</x:v>
      </x:c>
      <x:c r="E15" s="2" t="s">
        <x:v>326</x:v>
      </x:c>
      <x:c r="F15" s="2">
        <x:v>2</x:v>
      </x:c>
      <x:c r="G15" s="2">
        <x:v>1</x:v>
      </x:c>
      <x:c r="H15" s="2">
        <x:v>1</x:v>
      </x:c>
      <x:c r="I15" s="3" t="s">
        <x:v>294</x:v>
      </x:c>
      <x:c r="J15" s="2" t="s">
        <x:v>327</x:v>
      </x:c>
      <x:c r="K15" s="2" t="s">
        <x:v>328</x:v>
      </x:c>
    </x:row>
    <x:row r="16" ht="42" customHeight="1">
      <x:c r="A16" s="2" t="s">
        <x:v>329</x:v>
      </x:c>
      <x:c r="B16" s="2" t="s">
        <x:v>330</x:v>
      </x:c>
      <x:c r="C16" s="2" t="s">
        <x:v>331</x:v>
      </x:c>
      <x:c r="D16" s="2" t="s">
        <x:v>332</x:v>
      </x:c>
      <x:c r="E16" s="2" t="s">
        <x:v>333</x:v>
      </x:c>
      <x:c r="F16" s="2">
        <x:v>2</x:v>
      </x:c>
      <x:c r="G16" s="2">
        <x:v>1</x:v>
      </x:c>
      <x:c r="H16" s="2">
        <x:v>1</x:v>
      </x:c>
      <x:c r="I16" s="6" t="s">
        <x:v>334</x:v>
      </x:c>
      <x:c r="J16" s="2" t="s">
        <x:v>335</x:v>
      </x:c>
      <x:c r="K16" s="2" t="s">
        <x:v>336</x:v>
      </x:c>
    </x:row>
    <x:row r="17" ht="42" customHeight="1">
      <x:c r="A17" s="2" t="s">
        <x:v>337</x:v>
      </x:c>
      <x:c r="B17" s="2" t="s">
        <x:v>323</x:v>
      </x:c>
      <x:c r="C17" s="2" t="s">
        <x:v>338</x:v>
      </x:c>
      <x:c r="D17" s="2" t="s">
        <x:v>339</x:v>
      </x:c>
      <x:c r="E17" s="2" t="s">
        <x:v>340</x:v>
      </x:c>
      <x:c r="F17" s="2">
        <x:v>1</x:v>
      </x:c>
      <x:c r="G17" s="2">
        <x:v>1</x:v>
      </x:c>
      <x:c r="H17" s="2">
        <x:v>1</x:v>
      </x:c>
      <x:c r="I17" s="4" t="s">
        <x:v>341</x:v>
      </x:c>
      <x:c r="J17" s="2" t="s">
        <x:v>342</x:v>
      </x:c>
      <x:c r="K17" s="2" t="s">
        <x:v>282</x:v>
      </x:c>
    </x:row>
    <x:row r="18" ht="42" customHeight="1">
      <x:c r="A18" s="2" t="s">
        <x:v>343</x:v>
      </x:c>
      <x:c r="B18" s="2" t="s">
        <x:v>344</x:v>
      </x:c>
      <x:c r="C18" s="2" t="s">
        <x:v>279</x:v>
      </x:c>
      <x:c r="D18" s="2" t="s">
        <x:v>345</x:v>
      </x:c>
      <x:c r="E18" s="2" t="s">
        <x:v>346</x:v>
      </x:c>
      <x:c r="F18" s="2">
        <x:v>1</x:v>
      </x:c>
      <x:c r="G18" s="2">
        <x:v>1</x:v>
      </x:c>
      <x:c r="H18" s="2">
        <x:v>1</x:v>
      </x:c>
      <x:c r="I18" s="3" t="s">
        <x:v>294</x:v>
      </x:c>
      <x:c r="J18" s="2" t="s">
        <x:v>347</x:v>
      </x:c>
      <x:c r="K18" s="2" t="s">
        <x:v>302</x:v>
      </x:c>
    </x:row>
    <x:row r="19" ht="42" customHeight="1">
      <x:c r="A19" s="2" t="s">
        <x:v>348</x:v>
      </x:c>
      <x:c r="B19" s="2" t="s">
        <x:v>349</x:v>
      </x:c>
      <x:c r="C19" s="2" t="s">
        <x:v>279</x:v>
      </x:c>
      <x:c r="D19" s="2" t="s">
        <x:v>350</x:v>
      </x:c>
      <x:c r="E19" s="2" t="s">
        <x:v>351</x:v>
      </x:c>
      <x:c r="F19" s="2">
        <x:v>2</x:v>
      </x:c>
      <x:c r="G19" s="2">
        <x:v>2</x:v>
      </x:c>
      <x:c r="H19" s="2">
        <x:v>2</x:v>
      </x:c>
      <x:c r="I19" s="3" t="s">
        <x:v>294</x:v>
      </x:c>
      <x:c r="J19" s="2" t="s">
        <x:v>347</x:v>
      </x:c>
      <x:c r="K19" s="2" t="s">
        <x:v>302</x:v>
      </x:c>
    </x:row>
    <x:row r="20" ht="42" customHeight="1">
      <x:c r="A20" s="2" t="s">
        <x:v>352</x:v>
      </x:c>
      <x:c r="B20" s="2" t="s">
        <x:v>353</x:v>
      </x:c>
      <x:c r="C20" s="2" t="s">
        <x:v>279</x:v>
      </x:c>
      <x:c r="D20" s="2" t="s">
        <x:v>350</x:v>
      </x:c>
      <x:c r="E20" s="2" t="s">
        <x:v>354</x:v>
      </x:c>
      <x:c r="F20" s="2">
        <x:v>4</x:v>
      </x:c>
      <x:c r="G20" s="2">
        <x:v>4</x:v>
      </x:c>
      <x:c r="H20" s="2">
        <x:v>4</x:v>
      </x:c>
      <x:c r="I20" s="3" t="s">
        <x:v>294</x:v>
      </x:c>
      <x:c r="J20" s="2" t="s">
        <x:v>347</x:v>
      </x:c>
      <x:c r="K20" s="2" t="s">
        <x:v>302</x:v>
      </x:c>
    </x:row>
    <x:row r="21" ht="42" customHeight="1">
      <x:c r="A21" s="2" t="s">
        <x:v>355</x:v>
      </x:c>
      <x:c r="B21" s="2" t="s">
        <x:v>356</x:v>
      </x:c>
      <x:c r="C21" s="2" t="s">
        <x:v>279</x:v>
      </x:c>
      <x:c r="D21" s="2" t="s">
        <x:v>357</x:v>
      </x:c>
      <x:c r="E21" s="2" t="s">
        <x:v>358</x:v>
      </x:c>
      <x:c r="F21" s="2">
        <x:v>2</x:v>
      </x:c>
      <x:c r="G21" s="2">
        <x:v>2</x:v>
      </x:c>
      <x:c r="H21" s="2">
        <x:v>2</x:v>
      </x:c>
      <x:c r="I21" s="3" t="s">
        <x:v>312</x:v>
      </x:c>
      <x:c r="J21" s="2" t="s">
        <x:v>359</x:v>
      </x:c>
      <x:c r="K21" s="2" t="s">
        <x:v>360</x:v>
      </x:c>
    </x:row>
    <x:row r="22" ht="42" customHeight="1">
      <x:c r="A22" s="2" t="s">
        <x:v>361</x:v>
      </x:c>
      <x:c r="B22" s="2" t="s">
        <x:v>362</x:v>
      </x:c>
      <x:c r="C22" s="2" t="s">
        <x:v>279</x:v>
      </x:c>
      <x:c r="D22" s="2" t="s">
        <x:v>363</x:v>
      </x:c>
      <x:c r="E22" s="2" t="s">
        <x:v>364</x:v>
      </x:c>
      <x:c r="F22" s="2">
        <x:v>2</x:v>
      </x:c>
      <x:c r="G22" s="2">
        <x:v>2</x:v>
      </x:c>
      <x:c r="H22" s="2">
        <x:v>2</x:v>
      </x:c>
      <x:c r="I22" s="4" t="s">
        <x:v>365</x:v>
      </x:c>
      <x:c r="J22" s="2" t="s">
        <x:v>366</x:v>
      </x:c>
      <x:c r="K22" s="2" t="s">
        <x:v>367</x:v>
      </x:c>
    </x:row>
    <x:row r="23" ht="42" customHeight="1">
      <x:c r="A23" s="2" t="s">
        <x:v>368</x:v>
      </x:c>
      <x:c r="B23" s="2" t="s">
        <x:v>369</x:v>
      </x:c>
      <x:c r="C23" s="2" t="s">
        <x:v>279</x:v>
      </x:c>
      <x:c r="D23" s="2" t="s">
        <x:v>370</x:v>
      </x:c>
      <x:c r="E23" s="2" t="s">
        <x:v>371</x:v>
      </x:c>
      <x:c r="F23" s="2">
        <x:v>3</x:v>
      </x:c>
      <x:c r="G23" s="2">
        <x:v>3</x:v>
      </x:c>
      <x:c r="H23" s="2">
        <x:v>3</x:v>
      </x:c>
      <x:c r="I23" s="4" t="s">
        <x:v>365</x:v>
      </x:c>
      <x:c r="J23" s="2" t="s">
        <x:v>372</x:v>
      </x:c>
      <x:c r="K23" s="2" t="s">
        <x:v>367</x:v>
      </x:c>
    </x:row>
    <x:row r="24" ht="42" customHeight="1">
      <x:c r="A24" s="2" t="s">
        <x:v>373</x:v>
      </x:c>
      <x:c r="B24" s="2" t="s">
        <x:v>374</x:v>
      </x:c>
      <x:c r="C24" s="2" t="s">
        <x:v>279</x:v>
      </x:c>
      <x:c r="D24" s="2" t="s">
        <x:v>375</x:v>
      </x:c>
      <x:c r="E24" s="2" t="s">
        <x:v>376</x:v>
      </x:c>
      <x:c r="F24" s="2">
        <x:v>2</x:v>
      </x:c>
      <x:c r="G24" s="2">
        <x:v>2</x:v>
      </x:c>
      <x:c r="H24" s="2">
        <x:v>2</x:v>
      </x:c>
      <x:c r="I24" s="3" t="s">
        <x:v>377</x:v>
      </x:c>
      <x:c r="J24" s="2" t="s">
        <x:v>378</x:v>
      </x:c>
      <x:c r="K24" s="2" t="s">
        <x:v>336</x:v>
      </x:c>
    </x:row>
    <x:row r="25" ht="42" customHeight="1">
      <x:c r="A25" s="2" t="s">
        <x:v>379</x:v>
      </x:c>
      <x:c r="B25" s="2" t="s">
        <x:v>374</x:v>
      </x:c>
      <x:c r="C25" s="2" t="s">
        <x:v>279</x:v>
      </x:c>
      <x:c r="D25" s="2" t="s">
        <x:v>380</x:v>
      </x:c>
      <x:c r="E25" s="2" t="s">
        <x:v>381</x:v>
      </x:c>
      <x:c r="F25" s="2">
        <x:v>2</x:v>
      </x:c>
      <x:c r="G25" s="2">
        <x:v>2</x:v>
      </x:c>
      <x:c r="H25" s="2">
        <x:v>2</x:v>
      </x:c>
      <x:c r="I25" s="3" t="s">
        <x:v>377</x:v>
      </x:c>
      <x:c r="J25" s="2" t="s">
        <x:v>378</x:v>
      </x:c>
      <x:c r="K25" s="2" t="s">
        <x:v>336</x:v>
      </x:c>
    </x:row>
    <x:row r="26" ht="42" customHeight="1">
      <x:c r="A26" s="2" t="s">
        <x:v>382</x:v>
      </x:c>
      <x:c r="B26" s="2" t="s">
        <x:v>374</x:v>
      </x:c>
      <x:c r="C26" s="2" t="s">
        <x:v>279</x:v>
      </x:c>
      <x:c r="D26" s="2" t="s">
        <x:v>383</x:v>
      </x:c>
      <x:c r="E26" s="2" t="s">
        <x:v>384</x:v>
      </x:c>
      <x:c r="F26" s="2">
        <x:v>2</x:v>
      </x:c>
      <x:c r="G26" s="2">
        <x:v>2</x:v>
      </x:c>
      <x:c r="H26" s="2">
        <x:v>2</x:v>
      </x:c>
      <x:c r="I26" s="3" t="s">
        <x:v>377</x:v>
      </x:c>
      <x:c r="J26" s="2" t="s">
        <x:v>378</x:v>
      </x:c>
      <x:c r="K26" s="2" t="s">
        <x:v>336</x:v>
      </x:c>
    </x:row>
    <x:row r="27" ht="42" customHeight="1">
      <x:c r="A27" s="2" t="s">
        <x:v>385</x:v>
      </x:c>
      <x:c r="B27" s="2" t="s">
        <x:v>386</x:v>
      </x:c>
      <x:c r="C27" s="2" t="s">
        <x:v>279</x:v>
      </x:c>
      <x:c r="D27" s="2" t="s">
        <x:v>387</x:v>
      </x:c>
      <x:c r="E27" s="2" t="s">
        <x:v>388</x:v>
      </x:c>
      <x:c r="F27" s="2">
        <x:v>1</x:v>
      </x:c>
      <x:c r="G27" s="2">
        <x:v>1</x:v>
      </x:c>
      <x:c r="H27" s="2">
        <x:v>1</x:v>
      </x:c>
      <x:c r="I27" s="4" t="s">
        <x:v>294</x:v>
      </x:c>
      <x:c r="J27" s="2" t="s">
        <x:v>389</x:v>
      </x:c>
      <x:c r="K27" s="2" t="s">
        <x:v>296</x:v>
      </x:c>
    </x:row>
    <x:row r="28" ht="42" customHeight="1">
      <x:c r="A28" s="2" t="s">
        <x:v>390</x:v>
      </x:c>
      <x:c r="B28" s="2" t="s">
        <x:v>391</x:v>
      </x:c>
      <x:c r="C28" s="2" t="s">
        <x:v>279</x:v>
      </x:c>
      <x:c r="D28" s="2" t="s">
        <x:v>387</x:v>
      </x:c>
      <x:c r="E28" s="2" t="s">
        <x:v>392</x:v>
      </x:c>
      <x:c r="F28" s="2">
        <x:v>1</x:v>
      </x:c>
      <x:c r="G28" s="2">
        <x:v>1</x:v>
      </x:c>
      <x:c r="H28" s="2">
        <x:v>1</x:v>
      </x:c>
      <x:c r="I28" s="4" t="s">
        <x:v>294</x:v>
      </x:c>
      <x:c r="J28" s="2" t="s">
        <x:v>389</x:v>
      </x:c>
      <x:c r="K28" s="2" t="s">
        <x:v>296</x:v>
      </x:c>
    </x:row>
    <x:row r="29" ht="42" customHeight="1">
      <x:c r="A29" s="2" t="s">
        <x:v>393</x:v>
      </x:c>
      <x:c r="B29" s="2" t="s">
        <x:v>394</x:v>
      </x:c>
      <x:c r="C29" s="2" t="s">
        <x:v>279</x:v>
      </x:c>
      <x:c r="D29" s="2" t="s">
        <x:v>387</x:v>
      </x:c>
      <x:c r="E29" s="2" t="s">
        <x:v>395</x:v>
      </x:c>
      <x:c r="F29" s="2">
        <x:v>1</x:v>
      </x:c>
      <x:c r="G29" s="2">
        <x:v>1</x:v>
      </x:c>
      <x:c r="H29" s="2">
        <x:v>1</x:v>
      </x:c>
      <x:c r="I29" s="4" t="s">
        <x:v>294</x:v>
      </x:c>
      <x:c r="J29" s="2" t="s">
        <x:v>389</x:v>
      </x:c>
      <x:c r="K29" s="2" t="s">
        <x:v>296</x:v>
      </x:c>
    </x:row>
    <x:row r="30" ht="42" customHeight="1">
      <x:c r="A30" s="2" t="s">
        <x:v>396</x:v>
      </x:c>
      <x:c r="B30" s="2" t="s">
        <x:v>397</x:v>
      </x:c>
      <x:c r="C30" s="2" t="s">
        <x:v>279</x:v>
      </x:c>
      <x:c r="D30" s="2" t="s">
        <x:v>387</x:v>
      </x:c>
      <x:c r="E30" s="2" t="s">
        <x:v>398</x:v>
      </x:c>
      <x:c r="F30" s="2">
        <x:v>1</x:v>
      </x:c>
      <x:c r="G30" s="2">
        <x:v>1</x:v>
      </x:c>
      <x:c r="H30" s="2">
        <x:v>1</x:v>
      </x:c>
      <x:c r="I30" s="4" t="s">
        <x:v>294</x:v>
      </x:c>
      <x:c r="J30" s="2" t="s">
        <x:v>389</x:v>
      </x:c>
      <x:c r="K30" s="2" t="s">
        <x:v>296</x:v>
      </x:c>
    </x:row>
    <x:row r="31" ht="42" customHeight="1">
      <x:c r="A31" s="2" t="s">
        <x:v>399</x:v>
      </x:c>
      <x:c r="B31" s="2" t="s">
        <x:v>323</x:v>
      </x:c>
      <x:c r="C31" s="2" t="s">
        <x:v>400</x:v>
      </x:c>
      <x:c r="D31" s="2" t="s">
        <x:v>401</x:v>
      </x:c>
      <x:c r="E31" s="2" t="s">
        <x:v>402</x:v>
      </x:c>
      <x:c r="F31" s="2">
        <x:v>1</x:v>
      </x:c>
      <x:c r="G31" s="2">
        <x:v>1</x:v>
      </x:c>
      <x:c r="H31" s="2">
        <x:v>1</x:v>
      </x:c>
      <x:c r="I31" s="3" t="s">
        <x:v>294</x:v>
      </x:c>
      <x:c r="J31" s="2" t="s">
        <x:v>403</x:v>
      </x:c>
      <x:c r="K31" s="2" t="s">
        <x:v>404</x:v>
      </x:c>
    </x:row>
    <x:row r="32">
      <x:c r="A32" s="9"/>
      <x:c r="B32" s="9"/>
      <x:c r="C32" s="9"/>
      <x:c r="D32" s="9"/>
      <x:c r="E32" s="9"/>
      <x:c r="F32" s="9"/>
      <x:c r="G32" s="9"/>
      <x:c r="H32" s="9"/>
      <x:c r="I32" s="9"/>
      <x:c r="J32" s="9"/>
      <x:c r="K32" s="9"/>
    </x:row>
    <x:row r="33" ht="15">
      <x:c r="A33" s="32" t="s">
        <x:v>405</x:v>
      </x:c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</x:row>
  </x:sheetData>
  <x:mergeCells>
    <x:mergeCell ref="A1:K1"/>
    <x:mergeCell ref="A2:K2"/>
    <x:mergeCell ref="A33:K3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25"/>
  <x:cols>
    <x:col min="1" max="1" width="8" customWidth="1"/>
    <x:col min="2" max="2" width="10" customWidth="1"/>
    <x:col min="3" max="3" width="16" customWidth="1"/>
    <x:col min="4" max="4" width="25" customWidth="1"/>
    <x:col min="5" max="5" width="12" customWidth="1"/>
    <x:col min="6" max="6" width="30" customWidth="1"/>
    <x:col min="7" max="7" width="45" customWidth="1"/>
    <x:col min="8" max="8" width="22" customWidth="1"/>
    <x:col min="9" max="9" width="13" customWidth="1"/>
    <x:col min="10" max="10" width="20" customWidth="1"/>
    <x:col min="11" max="11" width="34" customWidth="1"/>
  </x:cols>
  <x:sheetData>
    <x:row r="1" ht="27.950000762939453" customHeight="1">
      <x:c r="A1" s="27" t="s">
        <x:v>406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</x:row>
    <x:row r="2" ht="33.95000076293945" customHeight="1">
      <x:c r="A2" s="29" t="s">
        <x:v>407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</x:row>
    <x:row r="4" ht="30" customHeight="1">
      <x:c r="A4" s="8" t="s">
        <x:v>408</x:v>
      </x:c>
      <x:c r="B4" s="8" t="s">
        <x:v>409</x:v>
      </x:c>
      <x:c r="C4" s="8" t="s">
        <x:v>245</x:v>
      </x:c>
      <x:c r="D4" s="8" t="s">
        <x:v>246</x:v>
      </x:c>
      <x:c r="E4" s="8" t="s">
        <x:v>410</x:v>
      </x:c>
      <x:c r="F4" s="8" t="s">
        <x:v>411</x:v>
      </x:c>
      <x:c r="G4" s="8" t="s">
        <x:v>253</x:v>
      </x:c>
      <x:c r="H4" s="8" t="s">
        <x:v>412</x:v>
      </x:c>
      <x:c r="I4" s="8" t="s">
        <x:v>413</x:v>
      </x:c>
      <x:c r="J4" s="8" t="s">
        <x:v>414</x:v>
      </x:c>
      <x:c r="K4" s="8" t="s">
        <x:v>415</x:v>
      </x:c>
    </x:row>
    <x:row r="5" ht="39.95000076293945" customHeight="1">
      <x:c r="A5" s="2" t="s">
        <x:v>416</x:v>
      </x:c>
      <x:c r="B5" s="2" t="s">
        <x:v>417</x:v>
      </x:c>
      <x:c r="C5" s="2" t="s">
        <x:v>265</x:v>
      </x:c>
      <x:c r="D5" s="2" t="s">
        <x:v>266</x:v>
      </x:c>
      <x:c r="E5" s="2" t="s">
        <x:v>418</x:v>
      </x:c>
      <x:c r="F5" s="2" t="s">
        <x:v>419</x:v>
      </x:c>
      <x:c r="G5" s="2" t="s">
        <x:v>91</x:v>
      </x:c>
      <x:c r="H5" s="2"/>
      <x:c r="I5" s="2"/>
      <x:c r="J5" s="2"/>
      <x:c r="K5" s="5" t="s">
        <x:v>420</x:v>
      </x:c>
    </x:row>
    <x:row r="6" ht="39.95000076293945" customHeight="1">
      <x:c r="A6" s="2"/>
      <x:c r="B6" s="2" t="s">
        <x:v>421</x:v>
      </x:c>
      <x:c r="C6" s="2" t="s">
        <x:v>422</x:v>
      </x:c>
      <x:c r="D6" s="2" t="s">
        <x:v>423</x:v>
      </x:c>
      <x:c r="E6" s="2" t="s">
        <x:v>418</x:v>
      </x:c>
      <x:c r="F6" s="2" t="s">
        <x:v>419</x:v>
      </x:c>
      <x:c r="G6" s="2" t="s">
        <x:v>424</x:v>
      </x:c>
      <x:c r="H6" s="2"/>
      <x:c r="I6" s="2"/>
      <x:c r="J6" s="2"/>
      <x:c r="K6" s="5" t="s">
        <x:v>425</x:v>
      </x:c>
    </x:row>
    <x:row r="7" ht="28.5">
      <x:c r="A7" s="9" t="s">
        <x:v>426</x:v>
      </x:c>
      <x:c r="B7" s="9" t="s">
        <x:v>427</x:v>
      </x:c>
      <x:c r="C7" s="9" t="s">
        <x:v>272</x:v>
      </x:c>
      <x:c r="D7" s="9" t="s">
        <x:v>273</x:v>
      </x:c>
      <x:c r="E7" s="9" t="s">
        <x:v>428</x:v>
      </x:c>
      <x:c r="F7" s="9" t="s">
        <x:v>419</x:v>
      </x:c>
      <x:c r="G7" s="9" t="s">
        <x:v>102</x:v>
      </x:c>
      <x:c r="H7" s="9"/>
      <x:c r="I7" s="9"/>
      <x:c r="J7" s="9"/>
      <x:c r="K7" s="9" t="s">
        <x:v>429</x:v>
      </x:c>
    </x:row>
    <x:row r="8" ht="50.099998474121094" customHeight="1">
      <x:c r="A8" s="32" t="s">
        <x:v>430</x:v>
      </x:c>
      <x:c r="B8" s="32"/>
      <x:c r="C8" s="32"/>
      <x:c r="D8" s="32" t="s">
        <x:v>431</x:v>
      </x:c>
      <x:c r="E8" s="32"/>
      <x:c r="F8" s="32"/>
      <x:c r="G8" s="32"/>
      <x:c r="H8" s="32"/>
      <x:c r="I8" s="32"/>
      <x:c r="J8" s="32"/>
      <x:c r="K8" s="32"/>
    </x:row>
    <x:row r="9">
      <x:c r="A9" s="9"/>
      <x:c r="B9" s="9"/>
      <x:c r="C9" s="9"/>
      <x:c r="D9" s="9"/>
      <x:c r="E9" s="9"/>
      <x:c r="F9" s="9"/>
      <x:c r="G9" s="9"/>
      <x:c r="H9" s="9"/>
      <x:c r="I9" s="9"/>
      <x:c r="J9" s="9"/>
      <x:c r="K9" s="9"/>
    </x:row>
    <x:row r="10" ht="15">
      <x:c r="A10" s="33" t="s">
        <x:v>432</x:v>
      </x:c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</x:row>
    <x:row r="11" ht="42" customHeight="1">
      <x:c r="A11" s="34" t="s">
        <x:v>433</x:v>
      </x:c>
      <x:c r="B11" s="34"/>
      <x:c r="C11" s="34"/>
      <x:c r="D11" s="34"/>
      <x:c r="E11" s="34"/>
      <x:c r="F11" s="34"/>
      <x:c r="G11" s="34"/>
      <x:c r="H11" s="34"/>
      <x:c r="I11" s="34"/>
      <x:c r="J11" s="34"/>
      <x:c r="K11" s="34"/>
    </x:row>
    <x:row r="12" ht="42" customHeight="1">
      <x:c r="A12" s="34"/>
      <x:c r="B12" s="34"/>
      <x:c r="C12" s="34"/>
      <x:c r="D12" s="34"/>
      <x:c r="E12" s="34"/>
      <x:c r="F12" s="34"/>
      <x:c r="G12" s="34"/>
      <x:c r="H12" s="34"/>
      <x:c r="I12" s="34"/>
      <x:c r="J12" s="34"/>
      <x:c r="K12" s="34"/>
    </x:row>
  </x:sheetData>
  <x:mergeCells>
    <x:mergeCell ref="A1:K1"/>
    <x:mergeCell ref="A2:K2"/>
    <x:mergeCell ref="A8:K8"/>
    <x:mergeCell ref="A10:K10"/>
    <x:mergeCell ref="A11:K1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25"/>
  <x:cols>
    <x:col min="1" max="1" width="12" customWidth="1"/>
    <x:col min="2" max="2" width="20" customWidth="1"/>
    <x:col min="3" max="3" width="16" customWidth="1"/>
    <x:col min="4" max="4" width="30" customWidth="1"/>
    <x:col min="5" max="5" width="25" customWidth="1"/>
    <x:col min="6" max="6" width="43" customWidth="1"/>
    <x:col min="7" max="7" width="45" customWidth="1"/>
    <x:col min="8" max="8" width="29" customWidth="1"/>
    <x:col min="9" max="9" width="12" customWidth="1"/>
    <x:col min="10" max="10" width="15" customWidth="1"/>
  </x:cols>
  <x:sheetData>
    <x:row r="1" ht="27.950000762939453" customHeight="1">
      <x:c r="A1" s="27" t="s">
        <x:v>434</x:v>
      </x:c>
      <x:c r="B1" s="31"/>
      <x:c r="C1" s="31"/>
      <x:c r="D1" s="31"/>
      <x:c r="E1" s="31"/>
      <x:c r="F1" s="31"/>
      <x:c r="G1" s="31"/>
      <x:c r="H1" s="31"/>
      <x:c r="I1" s="31"/>
      <x:c r="J1" s="31"/>
    </x:row>
    <x:row r="2" ht="33.95000076293945" customHeight="1">
      <x:c r="A2" s="29" t="s">
        <x:v>435</x:v>
      </x:c>
      <x:c r="B2" s="30"/>
      <x:c r="C2" s="30"/>
      <x:c r="D2" s="30"/>
      <x:c r="E2" s="30"/>
      <x:c r="F2" s="30"/>
      <x:c r="G2" s="30"/>
      <x:c r="H2" s="30"/>
      <x:c r="I2" s="30"/>
      <x:c r="J2" s="30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</x:row>
    <x:row r="4" ht="30" customHeight="1">
      <x:c r="A4" s="8" t="s">
        <x:v>436</x:v>
      </x:c>
      <x:c r="B4" s="8" t="s">
        <x:v>437</x:v>
      </x:c>
      <x:c r="C4" s="8" t="s">
        <x:v>438</x:v>
      </x:c>
      <x:c r="D4" s="8" t="s">
        <x:v>439</x:v>
      </x:c>
      <x:c r="E4" s="8" t="s">
        <x:v>440</x:v>
      </x:c>
      <x:c r="F4" s="8" t="s">
        <x:v>441</x:v>
      </x:c>
      <x:c r="G4" s="8" t="s">
        <x:v>442</x:v>
      </x:c>
      <x:c r="H4" s="8" t="s">
        <x:v>443</x:v>
      </x:c>
      <x:c r="I4" s="8" t="s">
        <x:v>251</x:v>
      </x:c>
      <x:c r="J4" s="8" t="s">
        <x:v>444</x:v>
      </x:c>
    </x:row>
    <x:row r="5" ht="48" customHeight="1">
      <x:c r="A5" s="2" t="s">
        <x:v>445</x:v>
      </x:c>
      <x:c r="B5" s="3" t="s">
        <x:v>446</x:v>
      </x:c>
      <x:c r="C5" s="2" t="s">
        <x:v>447</x:v>
      </x:c>
      <x:c r="D5" s="2" t="s">
        <x:v>448</x:v>
      </x:c>
      <x:c r="E5" s="2" t="s">
        <x:v>449</x:v>
      </x:c>
      <x:c r="F5" s="2" t="s">
        <x:v>450</x:v>
      </x:c>
      <x:c r="G5" s="2" t="s">
        <x:v>451</x:v>
      </x:c>
      <x:c r="H5" s="2" t="s">
        <x:v>452</x:v>
      </x:c>
      <x:c r="I5" s="7" t="s">
        <x:v>453</x:v>
      </x:c>
      <x:c r="J5" s="2" t="s">
        <x:v>454</x:v>
      </x:c>
    </x:row>
    <x:row r="6" ht="48" customHeight="1">
      <x:c r="A6" s="2" t="s">
        <x:v>455</x:v>
      </x:c>
      <x:c r="B6" s="3" t="s">
        <x:v>456</x:v>
      </x:c>
      <x:c r="C6" s="2" t="s">
        <x:v>457</x:v>
      </x:c>
      <x:c r="D6" s="2" t="s">
        <x:v>458</x:v>
      </x:c>
      <x:c r="E6" s="2" t="s">
        <x:v>459</x:v>
      </x:c>
      <x:c r="F6" s="2" t="s">
        <x:v>460</x:v>
      </x:c>
      <x:c r="G6" s="2" t="s">
        <x:v>461</x:v>
      </x:c>
      <x:c r="H6" s="2" t="s">
        <x:v>462</x:v>
      </x:c>
      <x:c r="I6" s="7" t="s">
        <x:v>453</x:v>
      </x:c>
      <x:c r="J6" s="2" t="s">
        <x:v>463</x:v>
      </x:c>
    </x:row>
    <x:row r="7" ht="48" customHeight="1">
      <x:c r="A7" s="2" t="s">
        <x:v>464</x:v>
      </x:c>
      <x:c r="B7" s="3" t="s">
        <x:v>465</x:v>
      </x:c>
      <x:c r="C7" s="2" t="s">
        <x:v>457</x:v>
      </x:c>
      <x:c r="D7" s="2" t="s">
        <x:v>466</x:v>
      </x:c>
      <x:c r="E7" s="2" t="s">
        <x:v>467</x:v>
      </x:c>
      <x:c r="F7" s="2" t="s">
        <x:v>468</x:v>
      </x:c>
      <x:c r="G7" s="2" t="s">
        <x:v>469</x:v>
      </x:c>
      <x:c r="H7" s="2" t="s">
        <x:v>470</x:v>
      </x:c>
      <x:c r="I7" s="7" t="s">
        <x:v>453</x:v>
      </x:c>
      <x:c r="J7" s="2" t="s">
        <x:v>471</x:v>
      </x:c>
    </x:row>
    <x:row r="8" ht="48" customHeight="1">
      <x:c r="A8" s="2" t="s">
        <x:v>472</x:v>
      </x:c>
      <x:c r="B8" s="5" t="s">
        <x:v>473</x:v>
      </x:c>
      <x:c r="C8" s="2" t="s">
        <x:v>474</x:v>
      </x:c>
      <x:c r="D8" s="2" t="s">
        <x:v>475</x:v>
      </x:c>
      <x:c r="E8" s="2" t="s">
        <x:v>476</x:v>
      </x:c>
      <x:c r="F8" s="2" t="s">
        <x:v>477</x:v>
      </x:c>
      <x:c r="G8" s="2" t="s">
        <x:v>478</x:v>
      </x:c>
      <x:c r="H8" s="2" t="s">
        <x:v>462</x:v>
      </x:c>
      <x:c r="I8" s="7" t="s">
        <x:v>453</x:v>
      </x:c>
      <x:c r="J8" s="2" t="s">
        <x:v>479</x:v>
      </x:c>
    </x:row>
    <x:row r="9" ht="48" customHeight="1">
      <x:c r="A9" s="2" t="s">
        <x:v>480</x:v>
      </x:c>
      <x:c r="B9" s="5" t="s">
        <x:v>481</x:v>
      </x:c>
      <x:c r="C9" s="2" t="s">
        <x:v>482</x:v>
      </x:c>
      <x:c r="D9" s="2" t="s">
        <x:v>483</x:v>
      </x:c>
      <x:c r="E9" s="2" t="s">
        <x:v>484</x:v>
      </x:c>
      <x:c r="F9" s="2" t="s">
        <x:v>485</x:v>
      </x:c>
      <x:c r="G9" s="2" t="s">
        <x:v>486</x:v>
      </x:c>
      <x:c r="H9" s="2" t="s">
        <x:v>462</x:v>
      </x:c>
      <x:c r="I9" s="7" t="s">
        <x:v>453</x:v>
      </x:c>
      <x:c r="J9" s="2" t="s">
        <x:v>487</x:v>
      </x:c>
    </x:row>
    <x:row r="10" ht="48" customHeight="1">
      <x:c r="A10" s="2" t="s">
        <x:v>488</x:v>
      </x:c>
      <x:c r="B10" s="5" t="s">
        <x:v>473</x:v>
      </x:c>
      <x:c r="C10" s="2" t="s">
        <x:v>474</x:v>
      </x:c>
      <x:c r="D10" s="2" t="s">
        <x:v>489</x:v>
      </x:c>
      <x:c r="E10" s="2" t="s">
        <x:v>490</x:v>
      </x:c>
      <x:c r="F10" s="2" t="s">
        <x:v>491</x:v>
      </x:c>
      <x:c r="G10" s="2" t="s">
        <x:v>492</x:v>
      </x:c>
      <x:c r="H10" s="2" t="s">
        <x:v>493</x:v>
      </x:c>
      <x:c r="I10" s="7" t="s">
        <x:v>453</x:v>
      </x:c>
      <x:c r="J10" s="2" t="s">
        <x:v>494</x:v>
      </x:c>
    </x:row>
    <x:row r="11" ht="48" customHeight="1">
      <x:c r="A11" s="2" t="s">
        <x:v>495</x:v>
      </x:c>
      <x:c r="B11" s="5" t="s">
        <x:v>496</x:v>
      </x:c>
      <x:c r="C11" s="2" t="s">
        <x:v>497</x:v>
      </x:c>
      <x:c r="D11" s="2" t="s">
        <x:v>498</x:v>
      </x:c>
      <x:c r="E11" s="2" t="s">
        <x:v>499</x:v>
      </x:c>
      <x:c r="F11" s="2" t="s">
        <x:v>500</x:v>
      </x:c>
      <x:c r="G11" s="2" t="s">
        <x:v>501</x:v>
      </x:c>
      <x:c r="H11" s="2" t="s">
        <x:v>493</x:v>
      </x:c>
      <x:c r="I11" s="7" t="s">
        <x:v>453</x:v>
      </x:c>
      <x:c r="J11" s="2" t="s">
        <x:v>502</x:v>
      </x:c>
    </x:row>
    <x:row r="12" ht="48" customHeight="1">
      <x:c r="A12" s="2" t="s">
        <x:v>503</x:v>
      </x:c>
      <x:c r="B12" s="5" t="s">
        <x:v>504</x:v>
      </x:c>
      <x:c r="C12" s="2" t="s">
        <x:v>505</x:v>
      </x:c>
      <x:c r="D12" s="2" t="s">
        <x:v>506</x:v>
      </x:c>
      <x:c r="E12" s="2" t="s">
        <x:v>499</x:v>
      </x:c>
      <x:c r="F12" s="2" t="s">
        <x:v>507</x:v>
      </x:c>
      <x:c r="G12" s="2" t="s">
        <x:v>508</x:v>
      </x:c>
      <x:c r="H12" s="2" t="s">
        <x:v>493</x:v>
      </x:c>
      <x:c r="I12" s="7" t="s">
        <x:v>453</x:v>
      </x:c>
      <x:c r="J12" s="2" t="s">
        <x:v>502</x:v>
      </x:c>
    </x:row>
    <x:row r="13" ht="48" customHeight="1">
      <x:c r="A13" s="2" t="s">
        <x:v>509</x:v>
      </x:c>
      <x:c r="B13" s="5" t="s">
        <x:v>510</x:v>
      </x:c>
      <x:c r="C13" s="2" t="s">
        <x:v>511</x:v>
      </x:c>
      <x:c r="D13" s="2" t="s">
        <x:v>512</x:v>
      </x:c>
      <x:c r="E13" s="2" t="s">
        <x:v>513</x:v>
      </x:c>
      <x:c r="F13" s="2" t="s">
        <x:v>514</x:v>
      </x:c>
      <x:c r="G13" s="2" t="s">
        <x:v>515</x:v>
      </x:c>
      <x:c r="H13" s="2" t="s">
        <x:v>493</x:v>
      </x:c>
      <x:c r="I13" s="7" t="s">
        <x:v>453</x:v>
      </x:c>
      <x:c r="J13" s="2" t="s">
        <x:v>502</x:v>
      </x:c>
    </x:row>
    <x:row r="14" ht="48" customHeight="1">
      <x:c r="A14" s="2" t="s">
        <x:v>516</x:v>
      </x:c>
      <x:c r="B14" s="5" t="s">
        <x:v>517</x:v>
      </x:c>
      <x:c r="C14" s="2" t="s">
        <x:v>518</x:v>
      </x:c>
      <x:c r="D14" s="2" t="s">
        <x:v>519</x:v>
      </x:c>
      <x:c r="E14" s="2" t="s">
        <x:v>520</x:v>
      </x:c>
      <x:c r="F14" s="2" t="s">
        <x:v>521</x:v>
      </x:c>
      <x:c r="G14" s="2" t="s">
        <x:v>522</x:v>
      </x:c>
      <x:c r="H14" s="2" t="s">
        <x:v>523</x:v>
      </x:c>
      <x:c r="I14" s="7" t="s">
        <x:v>453</x:v>
      </x:c>
      <x:c r="J14" s="2" t="s">
        <x:v>494</x:v>
      </x:c>
    </x:row>
    <x:row r="15" ht="48" customHeight="1">
      <x:c r="A15" s="2" t="s">
        <x:v>524</x:v>
      </x:c>
      <x:c r="B15" s="5" t="s">
        <x:v>525</x:v>
      </x:c>
      <x:c r="C15" s="2" t="s">
        <x:v>526</x:v>
      </x:c>
      <x:c r="D15" s="2" t="s">
        <x:v>527</x:v>
      </x:c>
      <x:c r="E15" s="2" t="s">
        <x:v>528</x:v>
      </x:c>
      <x:c r="F15" s="2" t="s">
        <x:v>529</x:v>
      </x:c>
      <x:c r="G15" s="2" t="s">
        <x:v>530</x:v>
      </x:c>
      <x:c r="H15" s="2" t="s">
        <x:v>531</x:v>
      </x:c>
      <x:c r="I15" s="7" t="s">
        <x:v>453</x:v>
      </x:c>
      <x:c r="J15" s="2" t="s">
        <x:v>532</x:v>
      </x:c>
    </x:row>
    <x:row r="16" ht="48" customHeight="1">
      <x:c r="A16" s="2" t="s">
        <x:v>533</x:v>
      </x:c>
      <x:c r="B16" s="5" t="s">
        <x:v>473</x:v>
      </x:c>
      <x:c r="C16" s="2" t="s">
        <x:v>474</x:v>
      </x:c>
      <x:c r="D16" s="2" t="s">
        <x:v>534</x:v>
      </x:c>
      <x:c r="E16" s="2" t="s">
        <x:v>535</x:v>
      </x:c>
      <x:c r="F16" s="2" t="s">
        <x:v>536</x:v>
      </x:c>
      <x:c r="G16" s="2" t="s">
        <x:v>537</x:v>
      </x:c>
      <x:c r="H16" s="2" t="s">
        <x:v>462</x:v>
      </x:c>
      <x:c r="I16" s="7" t="s">
        <x:v>453</x:v>
      </x:c>
      <x:c r="J16" s="2" t="s">
        <x:v>502</x:v>
      </x:c>
    </x:row>
    <x:row r="17" ht="48" customHeight="1">
      <x:c r="A17" s="2" t="s">
        <x:v>538</x:v>
      </x:c>
      <x:c r="B17" s="5" t="s">
        <x:v>473</x:v>
      </x:c>
      <x:c r="C17" s="2" t="s">
        <x:v>474</x:v>
      </x:c>
      <x:c r="D17" s="2" t="s">
        <x:v>539</x:v>
      </x:c>
      <x:c r="E17" s="2" t="s">
        <x:v>540</x:v>
      </x:c>
      <x:c r="F17" s="2" t="s">
        <x:v>541</x:v>
      </x:c>
      <x:c r="G17" s="2" t="s">
        <x:v>542</x:v>
      </x:c>
      <x:c r="H17" s="2" t="s">
        <x:v>462</x:v>
      </x:c>
      <x:c r="I17" s="7" t="s">
        <x:v>453</x:v>
      </x:c>
      <x:c r="J17" s="2" t="s">
        <x:v>502</x:v>
      </x:c>
    </x:row>
    <x:row r="18" ht="48" customHeight="1">
      <x:c r="A18" s="2" t="s">
        <x:v>543</x:v>
      </x:c>
      <x:c r="B18" s="4" t="s">
        <x:v>34</x:v>
      </x:c>
      <x:c r="C18" s="2" t="s">
        <x:v>544</x:v>
      </x:c>
      <x:c r="D18" s="2" t="s">
        <x:v>545</x:v>
      </x:c>
      <x:c r="E18" s="2" t="s">
        <x:v>546</x:v>
      </x:c>
      <x:c r="F18" s="2" t="s">
        <x:v>547</x:v>
      </x:c>
      <x:c r="G18" s="2" t="s">
        <x:v>548</x:v>
      </x:c>
      <x:c r="H18" s="2" t="s">
        <x:v>549</x:v>
      </x:c>
      <x:c r="I18" s="7" t="s">
        <x:v>453</x:v>
      </x:c>
      <x:c r="J18" s="2" t="s">
        <x:v>550</x:v>
      </x:c>
    </x:row>
    <x:row r="19" ht="48" customHeight="1">
      <x:c r="A19" s="2" t="s">
        <x:v>551</x:v>
      </x:c>
      <x:c r="B19" s="4" t="s">
        <x:v>552</x:v>
      </x:c>
      <x:c r="C19" s="2" t="s">
        <x:v>553</x:v>
      </x:c>
      <x:c r="D19" s="2" t="s">
        <x:v>554</x:v>
      </x:c>
      <x:c r="E19" s="2" t="s">
        <x:v>555</x:v>
      </x:c>
      <x:c r="F19" s="2" t="s">
        <x:v>556</x:v>
      </x:c>
      <x:c r="G19" s="2" t="s">
        <x:v>557</x:v>
      </x:c>
      <x:c r="H19" s="2" t="s">
        <x:v>549</x:v>
      </x:c>
      <x:c r="I19" s="7" t="s">
        <x:v>453</x:v>
      </x:c>
      <x:c r="J19" s="2" t="s">
        <x:v>558</x:v>
      </x:c>
    </x:row>
    <x:row r="20" ht="48" customHeight="1">
      <x:c r="A20" s="2" t="s">
        <x:v>559</x:v>
      </x:c>
      <x:c r="B20" s="4" t="s">
        <x:v>552</x:v>
      </x:c>
      <x:c r="C20" s="2" t="s">
        <x:v>553</x:v>
      </x:c>
      <x:c r="D20" s="2" t="s">
        <x:v>560</x:v>
      </x:c>
      <x:c r="E20" s="2" t="s">
        <x:v>561</x:v>
      </x:c>
      <x:c r="F20" s="2" t="s">
        <x:v>562</x:v>
      </x:c>
      <x:c r="G20" s="2" t="s">
        <x:v>557</x:v>
      </x:c>
      <x:c r="H20" s="2" t="s">
        <x:v>470</x:v>
      </x:c>
      <x:c r="I20" s="7" t="s">
        <x:v>453</x:v>
      </x:c>
      <x:c r="J20" s="2" t="s">
        <x:v>558</x:v>
      </x:c>
    </x:row>
    <x:row r="21" ht="48" customHeight="1">
      <x:c r="A21" s="2" t="s">
        <x:v>563</x:v>
      </x:c>
      <x:c r="B21" s="4" t="s">
        <x:v>552</x:v>
      </x:c>
      <x:c r="C21" s="2" t="s">
        <x:v>553</x:v>
      </x:c>
      <x:c r="D21" s="2" t="s">
        <x:v>564</x:v>
      </x:c>
      <x:c r="E21" s="2" t="s">
        <x:v>565</x:v>
      </x:c>
      <x:c r="F21" s="2" t="s">
        <x:v>566</x:v>
      </x:c>
      <x:c r="G21" s="2" t="s">
        <x:v>557</x:v>
      </x:c>
      <x:c r="H21" s="2" t="s">
        <x:v>567</x:v>
      </x:c>
      <x:c r="I21" s="7" t="s">
        <x:v>453</x:v>
      </x:c>
      <x:c r="J21" s="2" t="s">
        <x:v>558</x:v>
      </x:c>
    </x:row>
    <x:row r="22" ht="48" customHeight="1">
      <x:c r="A22" s="2" t="s">
        <x:v>568</x:v>
      </x:c>
      <x:c r="B22" s="4" t="s">
        <x:v>569</x:v>
      </x:c>
      <x:c r="C22" s="2" t="s">
        <x:v>570</x:v>
      </x:c>
      <x:c r="D22" s="2" t="s">
        <x:v>571</x:v>
      </x:c>
      <x:c r="E22" s="2" t="s">
        <x:v>572</x:v>
      </x:c>
      <x:c r="F22" s="2" t="s">
        <x:v>573</x:v>
      </x:c>
      <x:c r="G22" s="2" t="s">
        <x:v>574</x:v>
      </x:c>
      <x:c r="H22" s="2" t="s">
        <x:v>575</x:v>
      </x:c>
      <x:c r="I22" s="7" t="s">
        <x:v>453</x:v>
      </x:c>
      <x:c r="J22" s="2" t="s">
        <x:v>576</x:v>
      </x:c>
    </x:row>
    <x:row r="23" ht="48" customHeight="1">
      <x:c r="A23" s="2" t="s">
        <x:v>577</x:v>
      </x:c>
      <x:c r="B23" s="4" t="s">
        <x:v>34</x:v>
      </x:c>
      <x:c r="C23" s="2" t="s">
        <x:v>544</x:v>
      </x:c>
      <x:c r="D23" s="2" t="s">
        <x:v>578</x:v>
      </x:c>
      <x:c r="E23" s="2" t="s">
        <x:v>579</x:v>
      </x:c>
      <x:c r="F23" s="2" t="s">
        <x:v>580</x:v>
      </x:c>
      <x:c r="G23" s="2" t="s">
        <x:v>581</x:v>
      </x:c>
      <x:c r="H23" s="2" t="s">
        <x:v>582</x:v>
      </x:c>
      <x:c r="I23" s="7" t="s">
        <x:v>453</x:v>
      </x:c>
      <x:c r="J23" s="2" t="s">
        <x:v>583</x:v>
      </x:c>
    </x:row>
    <x:row r="24" ht="48" customHeight="1">
      <x:c r="A24" s="2" t="s">
        <x:v>584</x:v>
      </x:c>
      <x:c r="B24" s="4" t="s">
        <x:v>34</x:v>
      </x:c>
      <x:c r="C24" s="2" t="s">
        <x:v>544</x:v>
      </x:c>
      <x:c r="D24" s="2" t="s">
        <x:v>585</x:v>
      </x:c>
      <x:c r="E24" s="2" t="s">
        <x:v>586</x:v>
      </x:c>
      <x:c r="F24" s="2" t="s">
        <x:v>587</x:v>
      </x:c>
      <x:c r="G24" s="2" t="s">
        <x:v>588</x:v>
      </x:c>
      <x:c r="H24" s="2" t="s">
        <x:v>470</x:v>
      </x:c>
      <x:c r="I24" s="7" t="s">
        <x:v>453</x:v>
      </x:c>
      <x:c r="J24" s="2" t="s">
        <x:v>589</x:v>
      </x:c>
    </x:row>
    <x:row r="25" ht="48" customHeight="1">
      <x:c r="A25" s="2" t="s">
        <x:v>590</x:v>
      </x:c>
      <x:c r="B25" s="4" t="s">
        <x:v>34</x:v>
      </x:c>
      <x:c r="C25" s="2" t="s">
        <x:v>544</x:v>
      </x:c>
      <x:c r="D25" s="2" t="s">
        <x:v>591</x:v>
      </x:c>
      <x:c r="E25" s="2" t="s">
        <x:v>592</x:v>
      </x:c>
      <x:c r="F25" s="2" t="s">
        <x:v>593</x:v>
      </x:c>
      <x:c r="G25" s="2" t="s">
        <x:v>594</x:v>
      </x:c>
      <x:c r="H25" s="2" t="s">
        <x:v>462</x:v>
      </x:c>
      <x:c r="I25" s="7" t="s">
        <x:v>453</x:v>
      </x:c>
      <x:c r="J25" s="2" t="s">
        <x:v>595</x:v>
      </x:c>
    </x:row>
    <x:row r="26" ht="48" customHeight="1">
      <x:c r="A26" s="2" t="s">
        <x:v>596</x:v>
      </x:c>
      <x:c r="B26" s="6" t="s">
        <x:v>34</x:v>
      </x:c>
      <x:c r="C26" s="2" t="s">
        <x:v>597</x:v>
      </x:c>
      <x:c r="D26" s="2" t="s">
        <x:v>598</x:v>
      </x:c>
      <x:c r="E26" s="2" t="s">
        <x:v>599</x:v>
      </x:c>
      <x:c r="F26" s="2" t="s">
        <x:v>600</x:v>
      </x:c>
      <x:c r="G26" s="2" t="s">
        <x:v>601</x:v>
      </x:c>
      <x:c r="H26" s="2" t="s">
        <x:v>602</x:v>
      </x:c>
      <x:c r="I26" s="7" t="s">
        <x:v>453</x:v>
      </x:c>
      <x:c r="J26" s="2" t="s">
        <x:v>603</x:v>
      </x:c>
    </x:row>
    <x:row r="27">
      <x:c r="A27" s="80" t="str">
        <x:v>T-AUTO-01</x:v>
      </x:c>
      <x:c r="B27" s="80" t="str">
        <x:v>1. dönem / sürekli</x:v>
      </x:c>
      <x:c r="C27" s="80" t="str">
        <x:v>Reproducibility</x:v>
      </x:c>
      <x:c r="D27" s="80" t="str">
        <x:v>Otomatik / yeniden üretilebilir sonuç</x:v>
      </x:c>
      <x:c r="E27" s="80" t="str">
        <x:v>Temiz depo kopyası + test scriptleri</x:v>
      </x:c>
      <x:c r="F27" s="80" t="str">
        <x:v>Aynı girdilerle test/ölçüm scriptlerini temiz kopyadan yeniden çalıştır.</x:v>
      </x:c>
      <x:c r="G27" s="80" t="str">
        <x:v>Aynı girdilerle aynı sayısal sonuçlar; elle girilmiş ölçüm sonucu yok.</x:v>
      </x:c>
      <x:c r="H27" s="80" t="str">
        <x:v>Ege (C) + ilgili modül sahibi</x:v>
      </x:c>
      <x:c r="I27" s="80" t="str">
        <x:v>PLANLI</x:v>
      </x:c>
      <x:c r="J27" s="80" t="str">
        <x:v>SYS-026</x:v>
      </x:c>
    </x:row>
    <x:row r="28" ht="38.099998474121094" customHeight="1">
      <x:c r="A28" s="32" t="s">
        <x:v>604</x:v>
      </x:c>
      <x:c r="B28" s="32"/>
      <x:c r="C28" s="32"/>
      <x:c r="D28" s="32"/>
      <x:c r="E28" s="32"/>
      <x:c r="F28" s="32"/>
      <x:c r="G28" s="32"/>
      <x:c r="H28" s="32"/>
      <x:c r="I28" s="32"/>
      <x:c r="J28" s="32"/>
    </x:row>
  </x:sheetData>
  <x:mergeCells>
    <x:mergeCell ref="A1:J1"/>
    <x:mergeCell ref="A2:J2"/>
    <x:mergeCell ref="A28:J2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.25"/>
  <x:cols>
    <x:col min="1" max="1" width="20" customWidth="1"/>
    <x:col min="2" max="2" width="32" customWidth="1"/>
    <x:col min="3" max="3" width="38" customWidth="1"/>
    <x:col min="4" max="4" width="30" customWidth="1"/>
    <x:col min="5" max="5" width="24" customWidth="1"/>
    <x:col min="6" max="6" width="36" customWidth="1"/>
    <x:col min="7" max="7" width="24" customWidth="1"/>
    <x:col min="8" max="8" width="30" customWidth="1"/>
  </x:cols>
  <x:sheetData>
    <x:row r="1" ht="27.950000762939453" customHeight="1">
      <x:c r="A1" s="27" t="s">
        <x:v>605</x:v>
      </x:c>
      <x:c r="B1" s="31"/>
      <x:c r="C1" s="31"/>
      <x:c r="D1" s="31"/>
      <x:c r="E1" s="31"/>
      <x:c r="F1" s="31"/>
      <x:c r="G1" s="31"/>
      <x:c r="H1" s="31"/>
    </x:row>
    <x:row r="2" ht="33.95000076293945" customHeight="1">
      <x:c r="A2" s="29" t="s">
        <x:v>606</x:v>
      </x:c>
      <x:c r="B2" s="30"/>
      <x:c r="C2" s="30"/>
      <x:c r="D2" s="30"/>
      <x:c r="E2" s="30"/>
      <x:c r="F2" s="30"/>
      <x:c r="G2" s="30"/>
      <x:c r="H2" s="30"/>
    </x:row>
    <x:row r="3">
      <x:c r="A3" s="9"/>
      <x:c r="B3" s="9"/>
      <x:c r="C3" s="9"/>
      <x:c r="D3" s="9"/>
      <x:c r="E3" s="9"/>
      <x:c r="F3" s="9"/>
      <x:c r="G3" s="9"/>
      <x:c r="H3" s="9"/>
    </x:row>
    <x:row r="4" ht="30" customHeight="1">
      <x:c r="A4" s="8" t="s">
        <x:v>244</x:v>
      </x:c>
      <x:c r="B4" s="8" t="s">
        <x:v>607</x:v>
      </x:c>
      <x:c r="C4" s="8" t="s">
        <x:v>608</x:v>
      </x:c>
      <x:c r="D4" s="8" t="s">
        <x:v>251</x:v>
      </x:c>
      <x:c r="E4" s="8" t="s">
        <x:v>609</x:v>
      </x:c>
      <x:c r="F4" s="8" t="s">
        <x:v>610</x:v>
      </x:c>
      <x:c r="G4" s="8" t="s">
        <x:v>611</x:v>
      </x:c>
      <x:c r="H4" s="8" t="s">
        <x:v>253</x:v>
      </x:c>
    </x:row>
    <x:row r="5" ht="44.099998474121094" customHeight="1">
      <x:c r="A5" s="2" t="s">
        <x:v>612</x:v>
      </x:c>
      <x:c r="B5" s="2" t="s">
        <x:v>613</x:v>
      </x:c>
      <x:c r="C5" s="2" t="s">
        <x:v>614</x:v>
      </x:c>
      <x:c r="D5" s="5" t="s">
        <x:v>615</x:v>
      </x:c>
      <x:c r="E5" s="2" t="s">
        <x:v>616</x:v>
      </x:c>
      <x:c r="F5" s="2" t="s">
        <x:v>617</x:v>
      </x:c>
      <x:c r="G5" s="2" t="s">
        <x:v>618</x:v>
      </x:c>
      <x:c r="H5" s="2" t="s">
        <x:v>619</x:v>
      </x:c>
    </x:row>
    <x:row r="6" ht="44.099998474121094" customHeight="1">
      <x:c r="A6" s="2" t="s">
        <x:v>278</x:v>
      </x:c>
      <x:c r="B6" s="2" t="s">
        <x:v>620</x:v>
      </x:c>
      <x:c r="C6" s="2" t="s">
        <x:v>621</x:v>
      </x:c>
      <x:c r="D6" s="5" t="s">
        <x:v>622</x:v>
      </x:c>
      <x:c r="E6" s="2" t="s">
        <x:v>623</x:v>
      </x:c>
      <x:c r="F6" s="2" t="s">
        <x:v>624</x:v>
      </x:c>
      <x:c r="G6" s="2" t="s">
        <x:v>625</x:v>
      </x:c>
      <x:c r="H6" s="2" t="s">
        <x:v>626</x:v>
      </x:c>
    </x:row>
    <x:row r="7" ht="44.099998474121094" customHeight="1">
      <x:c r="A7" s="2" t="s">
        <x:v>627</x:v>
      </x:c>
      <x:c r="B7" s="2" t="s">
        <x:v>628</x:v>
      </x:c>
      <x:c r="C7" s="2" t="s">
        <x:v>629</x:v>
      </x:c>
      <x:c r="D7" s="4" t="s">
        <x:v>622</x:v>
      </x:c>
      <x:c r="E7" s="2" t="s">
        <x:v>630</x:v>
      </x:c>
      <x:c r="F7" s="2" t="s">
        <x:v>631</x:v>
      </x:c>
      <x:c r="G7" s="2" t="s">
        <x:v>632</x:v>
      </x:c>
      <x:c r="H7" s="2" t="s">
        <x:v>633</x:v>
      </x:c>
    </x:row>
    <x:row r="8" ht="44.099998474121094" customHeight="1">
      <x:c r="A8" s="2" t="s">
        <x:v>255</x:v>
      </x:c>
      <x:c r="B8" s="2" t="s">
        <x:v>634</x:v>
      </x:c>
      <x:c r="C8" s="2" t="s">
        <x:v>635</x:v>
      </x:c>
      <x:c r="D8" s="3" t="s">
        <x:v>622</x:v>
      </x:c>
      <x:c r="E8" s="2" t="s">
        <x:v>636</x:v>
      </x:c>
      <x:c r="F8" s="2" t="s">
        <x:v>637</x:v>
      </x:c>
      <x:c r="G8" s="2" t="s">
        <x:v>638</x:v>
      </x:c>
      <x:c r="H8" s="2" t="s">
        <x:v>639</x:v>
      </x:c>
    </x:row>
    <x:row r="9" ht="44.099998474121094" customHeight="1">
      <x:c r="A9" s="2" t="s">
        <x:v>640</x:v>
      </x:c>
      <x:c r="B9" s="2" t="s">
        <x:v>641</x:v>
      </x:c>
      <x:c r="C9" s="2" t="s">
        <x:v>642</x:v>
      </x:c>
      <x:c r="D9" s="3" t="s">
        <x:v>643</x:v>
      </x:c>
      <x:c r="E9" s="2" t="s">
        <x:v>224</x:v>
      </x:c>
      <x:c r="F9" s="2" t="s">
        <x:v>644</x:v>
      </x:c>
      <x:c r="G9" s="2" t="s">
        <x:v>645</x:v>
      </x:c>
      <x:c r="H9" s="2" t="s">
        <x:v>646</x:v>
      </x:c>
    </x:row>
    <x:row r="10" ht="44.099998474121094" customHeight="1">
      <x:c r="A10" s="2" t="s">
        <x:v>647</x:v>
      </x:c>
      <x:c r="B10" s="2" t="s">
        <x:v>648</x:v>
      </x:c>
      <x:c r="C10" s="2" t="s">
        <x:v>649</x:v>
      </x:c>
      <x:c r="D10" s="5" t="s">
        <x:v>643</x:v>
      </x:c>
      <x:c r="E10" s="2" t="s">
        <x:v>650</x:v>
      </x:c>
      <x:c r="F10" s="2" t="s">
        <x:v>651</x:v>
      </x:c>
      <x:c r="G10" s="2" t="s">
        <x:v>645</x:v>
      </x:c>
      <x:c r="H10" s="2" t="s">
        <x:v>646</x:v>
      </x:c>
    </x:row>
    <x:row r="11" ht="44.099998474121094" customHeight="1">
      <x:c r="A11" s="2" t="s">
        <x:v>11</x:v>
      </x:c>
      <x:c r="B11" s="2" t="s">
        <x:v>652</x:v>
      </x:c>
      <x:c r="C11" s="2" t="s">
        <x:v>653</x:v>
      </x:c>
      <x:c r="D11" s="3" t="s">
        <x:v>654</x:v>
      </x:c>
      <x:c r="E11" s="2" t="s">
        <x:v>655</x:v>
      </x:c>
      <x:c r="F11" s="2" t="s">
        <x:v>656</x:v>
      </x:c>
      <x:c r="G11" s="2" t="s">
        <x:v>657</x:v>
      </x:c>
      <x:c r="H11" s="2" t="s">
        <x:v>658</x:v>
      </x:c>
    </x:row>
    <x:row r="12" ht="44.099998474121094" customHeight="1">
      <x:c r="A12" s="2" t="s">
        <x:v>659</x:v>
      </x:c>
      <x:c r="B12" s="2" t="s">
        <x:v>660</x:v>
      </x:c>
      <x:c r="C12" s="2" t="s">
        <x:v>661</x:v>
      </x:c>
      <x:c r="D12" s="3" t="s">
        <x:v>294</x:v>
      </x:c>
      <x:c r="E12" s="2" t="s">
        <x:v>34</x:v>
      </x:c>
      <x:c r="F12" s="2" t="s">
        <x:v>662</x:v>
      </x:c>
      <x:c r="G12" s="2" t="s">
        <x:v>663</x:v>
      </x:c>
      <x:c r="H12" s="2" t="s">
        <x:v>664</x:v>
      </x:c>
    </x:row>
    <x:row r="13" ht="28.5">
      <x:c r="A13" s="9" t="s">
        <x:v>14</x:v>
      </x:c>
      <x:c r="B13" s="9" t="s">
        <x:v>665</x:v>
      </x:c>
      <x:c r="C13" s="9" t="s">
        <x:v>666</x:v>
      </x:c>
      <x:c r="D13" s="9" t="s">
        <x:v>667</x:v>
      </x:c>
      <x:c r="E13" s="9" t="s">
        <x:v>668</x:v>
      </x:c>
      <x:c r="F13" s="9" t="s">
        <x:v>669</x:v>
      </x:c>
      <x:c r="G13" s="9" t="s">
        <x:v>670</x:v>
      </x:c>
      <x:c r="H13" s="9" t="s">
        <x:v>658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.25"/>
  <x:cols>
    <x:col min="1" max="1" width="10" customWidth="1"/>
    <x:col min="2" max="2" width="32" customWidth="1"/>
    <x:col min="3" max="3" width="22" customWidth="1"/>
    <x:col min="4" max="4" width="30" customWidth="1"/>
    <x:col min="5" max="5" width="12" customWidth="1"/>
    <x:col min="6" max="7" width="16" customWidth="1"/>
    <x:col min="8" max="8" width="40" customWidth="1"/>
    <x:col min="9" max="10" width="16" customWidth="1"/>
    <x:col min="11" max="11" width="20" customWidth="1"/>
  </x:cols>
  <x:sheetData>
    <x:row r="1" ht="27.950000762939453" customHeight="1">
      <x:c r="A1" s="27" t="s">
        <x:v>671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</x:row>
    <x:row r="2" ht="33.95000076293945" customHeight="1">
      <x:c r="A2" s="29" t="s">
        <x:v>672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</x:row>
    <x:row r="4" ht="30" customHeight="1">
      <x:c r="A4" s="8" t="s">
        <x:v>673</x:v>
      </x:c>
      <x:c r="B4" s="8" t="s">
        <x:v>62</x:v>
      </x:c>
      <x:c r="C4" s="8" t="s">
        <x:v>64</x:v>
      </x:c>
      <x:c r="D4" s="8" t="s">
        <x:v>674</x:v>
      </x:c>
      <x:c r="E4" s="8" t="s">
        <x:v>675</x:v>
      </x:c>
      <x:c r="F4" s="8" t="s">
        <x:v>67</x:v>
      </x:c>
      <x:c r="G4" s="8" t="s">
        <x:v>68</x:v>
      </x:c>
      <x:c r="H4" s="8" t="s">
        <x:v>676</x:v>
      </x:c>
      <x:c r="I4" s="8" t="s">
        <x:v>677</x:v>
      </x:c>
      <x:c r="J4" s="8" t="s">
        <x:v>678</x:v>
      </x:c>
      <x:c r="K4" s="8" t="s">
        <x:v>679</x:v>
      </x:c>
    </x:row>
    <x:row r="5" ht="32.099998474121094" customHeight="1">
      <x:c r="A5" s="2" t="s">
        <x:v>75</x:v>
      </x:c>
      <x:c r="B5" s="2" t="s">
        <x:v>680</x:v>
      </x:c>
      <x:c r="C5" s="2"/>
      <x:c r="D5" s="2"/>
      <x:c r="E5" s="2"/>
      <x:c r="F5" s="81"/>
      <x:c r="G5" s="81" t="str">
        <x:f>IF(OR(E5="",F5=""),"",E5*F5)</x:f>
      </x:c>
      <x:c r="H5" s="2"/>
      <x:c r="I5" s="2"/>
      <x:c r="J5" s="2"/>
      <x:c r="K5" s="9"/>
    </x:row>
    <x:row r="6" ht="32.099998474121094" customHeight="1">
      <x:c r="A6" s="2" t="s">
        <x:v>87</x:v>
      </x:c>
      <x:c r="B6" s="2" t="s">
        <x:v>88</x:v>
      </x:c>
      <x:c r="C6" s="2"/>
      <x:c r="D6" s="2"/>
      <x:c r="E6" s="2"/>
      <x:c r="F6" s="81"/>
      <x:c r="G6" s="81" t="str">
        <x:f>IF(OR(E6="",F6=""),"",E6*F6)</x:f>
      </x:c>
      <x:c r="H6" s="2"/>
      <x:c r="I6" s="2"/>
      <x:c r="J6" s="2"/>
      <x:c r="K6" s="9"/>
    </x:row>
    <x:row r="7" ht="32.099998474121094" customHeight="1">
      <x:c r="A7" s="2" t="s">
        <x:v>95</x:v>
      </x:c>
      <x:c r="B7" s="2" t="s">
        <x:v>681</x:v>
      </x:c>
      <x:c r="C7" s="2"/>
      <x:c r="D7" s="2"/>
      <x:c r="E7" s="2"/>
      <x:c r="F7" s="81"/>
      <x:c r="G7" s="81" t="str">
        <x:f>IF(OR(E7="",F7=""),"",E7*F7)</x:f>
      </x:c>
      <x:c r="H7" s="2"/>
      <x:c r="I7" s="2"/>
      <x:c r="J7" s="2"/>
      <x:c r="K7" s="9"/>
    </x:row>
    <x:row r="8" ht="32.099998474121094" customHeight="1">
      <x:c r="A8" s="2" t="s">
        <x:v>104</x:v>
      </x:c>
      <x:c r="B8" s="2" t="s">
        <x:v>682</x:v>
      </x:c>
      <x:c r="C8" s="2"/>
      <x:c r="D8" s="2"/>
      <x:c r="E8" s="2"/>
      <x:c r="F8" s="81"/>
      <x:c r="G8" s="81" t="str">
        <x:f>IF(OR(E8="",F8=""),"",E8*F8)</x:f>
      </x:c>
      <x:c r="H8" s="2"/>
      <x:c r="I8" s="2"/>
      <x:c r="J8" s="2"/>
      <x:c r="K8" s="9"/>
    </x:row>
    <x:row r="9" ht="32.099998474121094" customHeight="1">
      <x:c r="A9" s="2" t="s">
        <x:v>113</x:v>
      </x:c>
      <x:c r="B9" s="2" t="s">
        <x:v>114</x:v>
      </x:c>
      <x:c r="C9" s="2"/>
      <x:c r="D9" s="2"/>
      <x:c r="E9" s="2"/>
      <x:c r="F9" s="81"/>
      <x:c r="G9" s="81" t="str">
        <x:f>IF(OR(E9="",F9=""),"",E9*F9)</x:f>
      </x:c>
      <x:c r="H9" s="2"/>
      <x:c r="I9" s="2"/>
      <x:c r="J9" s="2"/>
      <x:c r="K9" s="9"/>
    </x:row>
    <x:row r="10" ht="32.099998474121094" customHeight="1">
      <x:c r="A10" s="2" t="s">
        <x:v>122</x:v>
      </x:c>
      <x:c r="B10" s="2" t="s">
        <x:v>123</x:v>
      </x:c>
      <x:c r="C10" s="2"/>
      <x:c r="D10" s="2"/>
      <x:c r="E10" s="2"/>
      <x:c r="F10" s="81"/>
      <x:c r="G10" s="81" t="str">
        <x:f>IF(OR(E10="",F10=""),"",E10*F10)</x:f>
      </x:c>
      <x:c r="H10" s="2"/>
      <x:c r="I10" s="2"/>
      <x:c r="J10" s="2"/>
      <x:c r="K10" s="9"/>
    </x:row>
    <x:row r="11" ht="32.099998474121094" customHeight="1">
      <x:c r="A11" s="2" t="s">
        <x:v>132</x:v>
      </x:c>
      <x:c r="B11" s="2" t="s">
        <x:v>683</x:v>
      </x:c>
      <x:c r="C11" s="2"/>
      <x:c r="D11" s="2"/>
      <x:c r="E11" s="2"/>
      <x:c r="F11" s="81"/>
      <x:c r="G11" s="81" t="str">
        <x:f>IF(OR(E11="",F11=""),"",E11*F11)</x:f>
      </x:c>
      <x:c r="H11" s="2"/>
      <x:c r="I11" s="2"/>
      <x:c r="J11" s="2"/>
      <x:c r="K11" s="9"/>
    </x:row>
    <x:row r="12" ht="32.099998474121094" customHeight="1">
      <x:c r="A12" s="2" t="s">
        <x:v>142</x:v>
      </x:c>
      <x:c r="B12" s="2" t="s">
        <x:v>143</x:v>
      </x:c>
      <x:c r="C12" s="2"/>
      <x:c r="D12" s="2"/>
      <x:c r="E12" s="2"/>
      <x:c r="F12" s="81"/>
      <x:c r="G12" s="81" t="str">
        <x:f>IF(OR(E12="",F12=""),"",E12*F12)</x:f>
      </x:c>
      <x:c r="H12" s="2"/>
      <x:c r="I12" s="2"/>
      <x:c r="J12" s="2"/>
      <x:c r="K12" s="9"/>
    </x:row>
    <x:row r="13" ht="32.099998474121094" customHeight="1">
      <x:c r="A13" s="2" t="s">
        <x:v>148</x:v>
      </x:c>
      <x:c r="B13" s="2" t="s">
        <x:v>684</x:v>
      </x:c>
      <x:c r="C13" s="2"/>
      <x:c r="D13" s="2"/>
      <x:c r="E13" s="2"/>
      <x:c r="F13" s="81"/>
      <x:c r="G13" s="81" t="str">
        <x:f>IF(OR(E13="",F13=""),"",E13*F13)</x:f>
      </x:c>
      <x:c r="H13" s="2"/>
      <x:c r="I13" s="2"/>
      <x:c r="J13" s="2"/>
      <x:c r="K13" s="9"/>
    </x:row>
    <x:row r="14" ht="32.099998474121094" customHeight="1">
      <x:c r="A14" s="2" t="s">
        <x:v>158</x:v>
      </x:c>
      <x:c r="B14" s="2" t="s">
        <x:v>159</x:v>
      </x:c>
      <x:c r="C14" s="2"/>
      <x:c r="D14" s="2"/>
      <x:c r="E14" s="2"/>
      <x:c r="F14" s="81"/>
      <x:c r="G14" s="81" t="str">
        <x:f>IF(OR(E14="",F14=""),"",E14*F14)</x:f>
      </x:c>
      <x:c r="H14" s="2"/>
      <x:c r="I14" s="2"/>
      <x:c r="J14" s="2"/>
      <x:c r="K14" s="9"/>
    </x:row>
    <x:row r="15" ht="32.099998474121094" customHeight="1">
      <x:c r="A15" s="2" t="s">
        <x:v>167</x:v>
      </x:c>
      <x:c r="B15" s="2" t="s">
        <x:v>168</x:v>
      </x:c>
      <x:c r="C15" s="2"/>
      <x:c r="D15" s="2"/>
      <x:c r="E15" s="2"/>
      <x:c r="F15" s="81"/>
      <x:c r="G15" s="81" t="str">
        <x:f>IF(OR(E15="",F15=""),"",E15*F15)</x:f>
      </x:c>
      <x:c r="H15" s="2"/>
      <x:c r="I15" s="2"/>
      <x:c r="J15" s="2"/>
      <x:c r="K15" s="9"/>
    </x:row>
    <x:row r="16" ht="32.099998474121094" customHeight="1">
      <x:c r="A16" s="2" t="s">
        <x:v>176</x:v>
      </x:c>
      <x:c r="B16" s="2" t="str">
        <x:v>Shielded cable + konnektör</x:v>
      </x:c>
      <x:c r="C16" s="2"/>
      <x:c r="D16" s="2"/>
      <x:c r="E16" s="2"/>
      <x:c r="F16" s="81"/>
      <x:c r="G16" s="81" t="str">
        <x:f>IF(OR(E16="",F16=""),"",E16*F16)</x:f>
      </x:c>
      <x:c r="H16" s="2"/>
      <x:c r="I16" s="2"/>
      <x:c r="J16" s="2"/>
      <x:c r="K16" s="9"/>
    </x:row>
    <x:row r="17" ht="32.099998474121094" customHeight="1">
      <x:c r="A17" s="2" t="s">
        <x:v>186</x:v>
      </x:c>
      <x:c r="B17" s="2" t="s">
        <x:v>189</x:v>
      </x:c>
      <x:c r="C17" s="2"/>
      <x:c r="D17" s="2"/>
      <x:c r="E17" s="2"/>
      <x:c r="F17" s="81"/>
      <x:c r="G17" s="81" t="str">
        <x:f>IF(OR(E17="",F17=""),"",E17*F17)</x:f>
      </x:c>
      <x:c r="H17" s="2"/>
      <x:c r="I17" s="2"/>
      <x:c r="J17" s="2"/>
      <x:c r="K17" s="9"/>
    </x:row>
    <x:row r="18" ht="32.099998474121094" customHeight="1">
      <x:c r="A18" s="2" t="s">
        <x:v>195</x:v>
      </x:c>
      <x:c r="B18" s="2" t="s">
        <x:v>196</x:v>
      </x:c>
      <x:c r="C18" s="2"/>
      <x:c r="D18" s="2"/>
      <x:c r="E18" s="2"/>
      <x:c r="F18" s="81"/>
      <x:c r="G18" s="81" t="str">
        <x:f>IF(OR(E18="",F18=""),"",E18*F18)</x:f>
      </x:c>
      <x:c r="H18" s="2"/>
      <x:c r="I18" s="2"/>
      <x:c r="J18" s="2"/>
      <x:c r="K18" s="9"/>
    </x:row>
    <x:row r="19" ht="32.099998474121094" customHeight="1">
      <x:c r="A19" s="2" t="s">
        <x:v>199</x:v>
      </x:c>
      <x:c r="B19" s="2" t="s">
        <x:v>685</x:v>
      </x:c>
      <x:c r="C19" s="2"/>
      <x:c r="D19" s="2"/>
      <x:c r="E19" s="2"/>
      <x:c r="F19" s="81"/>
      <x:c r="G19" s="81" t="str">
        <x:f>IF(OR(E19="",F19=""),"",E19*F19)</x:f>
      </x:c>
      <x:c r="H19" s="2"/>
      <x:c r="I19" s="2"/>
      <x:c r="J19" s="2"/>
      <x:c r="K19" s="9"/>
    </x:row>
    <x:row r="20" ht="32.099998474121094" customHeight="1">
      <x:c r="A20" s="2" t="s">
        <x:v>203</x:v>
      </x:c>
      <x:c r="B20" s="2" t="s">
        <x:v>686</x:v>
      </x:c>
      <x:c r="C20" s="2"/>
      <x:c r="D20" s="2"/>
      <x:c r="E20" s="2"/>
      <x:c r="F20" s="81"/>
      <x:c r="G20" s="81" t="str">
        <x:f>IF(OR(E20="",F20=""),"",E20*F20)</x:f>
      </x:c>
      <x:c r="H20" s="2"/>
      <x:c r="I20" s="2"/>
      <x:c r="J20" s="2"/>
      <x:c r="K20" s="9"/>
    </x:row>
    <x:row r="21" ht="32.099998474121094" customHeight="1">
      <x:c r="A21" s="2" t="s">
        <x:v>210</x:v>
      </x:c>
      <x:c r="B21" s="2" t="s">
        <x:v>687</x:v>
      </x:c>
      <x:c r="C21" s="2"/>
      <x:c r="D21" s="2"/>
      <x:c r="E21" s="2"/>
      <x:c r="F21" s="81"/>
      <x:c r="G21" s="81" t="str">
        <x:f>IF(OR(E21="",F21=""),"",E21*F21)</x:f>
      </x:c>
      <x:c r="H21" s="2"/>
      <x:c r="I21" s="2"/>
      <x:c r="J21" s="2"/>
      <x:c r="K21" s="9"/>
    </x:row>
    <x:row r="22" ht="32.099998474121094" customHeight="1">
      <x:c r="A22" s="2"/>
      <x:c r="B22" s="2"/>
      <x:c r="C22" s="2"/>
      <x:c r="D22" s="2"/>
      <x:c r="E22" s="2"/>
      <x:c r="F22" s="81"/>
      <x:c r="G22" s="81"/>
      <x:c r="H22" s="2"/>
      <x:c r="I22" s="2"/>
      <x:c r="J22" s="2"/>
      <x:c r="K22" s="9"/>
    </x:row>
    <x:row r="23" ht="32.099998474121094" customHeight="1">
      <x:c r="A23" s="2"/>
      <x:c r="B23" s="2"/>
      <x:c r="C23" s="2"/>
      <x:c r="D23" s="2"/>
      <x:c r="E23" s="2"/>
      <x:c r="F23" s="81"/>
      <x:c r="G23" s="81"/>
      <x:c r="H23" s="2"/>
      <x:c r="I23" s="2"/>
      <x:c r="J23" s="2"/>
      <x:c r="K23" s="9"/>
    </x:row>
    <x:row r="24" ht="32.099998474121094" customHeight="1">
      <x:c r="A24" s="2"/>
      <x:c r="B24" s="2"/>
      <x:c r="C24" s="2"/>
      <x:c r="D24" s="2"/>
      <x:c r="E24" s="2"/>
      <x:c r="F24" s="81"/>
      <x:c r="G24" s="81"/>
      <x:c r="H24" s="2"/>
      <x:c r="I24" s="2"/>
      <x:c r="J24" s="2"/>
      <x:c r="K24" s="9"/>
    </x:row>
    <x:row r="25">
      <x:c r="A25" s="9"/>
      <x:c r="B25" s="9"/>
      <x:c r="C25" s="9"/>
      <x:c r="D25" s="9"/>
      <x:c r="E25" s="9"/>
      <x:c r="F25" s="82"/>
      <x:c r="G25" s="82"/>
      <x:c r="H25" s="9"/>
      <x:c r="I25" s="9"/>
      <x:c r="J25" s="9"/>
      <x:c r="K25" s="9"/>
    </x:row>
    <x:row r="26" ht="15">
      <x:c r="A26" s="35" t="s">
        <x:v>688</x:v>
      </x:c>
      <x:c r="B26" s="35"/>
      <x:c r="C26" s="35"/>
      <x:c r="D26" s="35"/>
      <x:c r="E26" s="35"/>
      <x:c r="F26" s="83"/>
      <x:c r="G26" s="84" t="n">
        <x:f>SUM(G5:G21)</x:f>
        <x:v>0</x:v>
      </x:c>
      <x:c r="H26" s="9"/>
      <x:c r="I26" s="9"/>
      <x:c r="J26" s="9"/>
      <x:c r="K26" s="9"/>
    </x:row>
    <x:row r="27">
      <x:c r="A27" s="9"/>
      <x:c r="B27" s="9"/>
      <x:c r="C27" s="9"/>
      <x:c r="D27" s="9"/>
      <x:c r="E27" s="9"/>
      <x:c r="F27" s="9"/>
      <x:c r="G27" s="9"/>
      <x:c r="H27" s="9"/>
      <x:c r="I27" s="9"/>
      <x:c r="J27" s="9"/>
      <x:c r="K27" s="9"/>
    </x:row>
    <x:row r="28" ht="36" customHeight="1">
      <x:c r="A28" s="32" t="s">
        <x:v>689</x:v>
      </x:c>
      <x:c r="B28" s="32"/>
      <x:c r="C28" s="32"/>
      <x:c r="D28" s="32"/>
      <x:c r="E28" s="32"/>
      <x:c r="F28" s="32"/>
      <x:c r="G28" s="32"/>
      <x:c r="H28" s="32"/>
      <x:c r="I28" s="32"/>
      <x:c r="J28" s="32"/>
      <x:c r="K28" s="9"/>
    </x:row>
  </x:sheetData>
  <x:mergeCells>
    <x:mergeCell ref="A26:F26"/>
    <x:mergeCell ref="A28:J28"/>
    <x:mergeCell ref="A1:K1"/>
    <x:mergeCell ref="A2:K2"/>
  </x:mergeCells>
  <x:pageMargins left="0.7" right="0.7" top="0.75" bottom="0.75" header="0.3" footer="0.3"/>
</x:worksheet>
</file>